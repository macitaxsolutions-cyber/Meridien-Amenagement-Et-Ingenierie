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Hypothèses" sheetId="2" state="visible" r:id="rId4"/>
    <sheet name="Budget" sheetId="3" state="visible" r:id="rId5"/>
    <sheet name="RH" sheetId="4" state="visible" r:id="rId6"/>
    <sheet name="Équipements" sheetId="5" state="visible" r:id="rId7"/>
  </sheets>
  <definedNames>
    <definedName function="false" hidden="false" name="BATIMENTS" vbProcedure="false">Hypothèses!$B$42</definedName>
    <definedName function="false" hidden="false" name="BAT_KALOUM" vbProcedure="false">Hypothèses!$B$13</definedName>
    <definedName function="false" hidden="false" name="DUREE_PROJET_MOIS" vbProcedure="false">Hypothèses!$B$53</definedName>
    <definedName function="false" hidden="false" name="FX_RATE" vbProcedure="false">Hypothèses!$B$21</definedName>
    <definedName function="false" hidden="false" name="GROWTH" vbProcedure="false">Hypothèses!$B$6</definedName>
    <definedName function="false" hidden="false" name="HHSIZE" vbProcedure="false">Hypothèses!$B$8</definedName>
    <definedName function="false" hidden="false" name="INTERSECTIONS" vbProcedure="false">Hypothèses!$B$45</definedName>
    <definedName function="false" hidden="false" name="INTERS_KALOUM" vbProcedure="false">Hypothèses!$B$16</definedName>
    <definedName function="false" hidden="false" name="KAL_AJUST" vbProcedure="false">Hypothèses!$B$38</definedName>
    <definedName function="false" hidden="false" name="KAL_CARTO" vbProcedure="false">Hypothèses!$B$31</definedName>
    <definedName function="false" hidden="false" name="KAL_COORD" vbProcedure="false">Hypothèses!$B$37</definedName>
    <definedName function="false" hidden="false" name="KAL_ENQ" vbProcedure="false">Hypothèses!$B$33</definedName>
    <definedName function="false" hidden="false" name="KAL_FORM" vbProcedure="false">Hypothèses!$B$36</definedName>
    <definedName function="false" hidden="false" name="KAL_SIG" vbProcedure="false">Hypothèses!$B$34</definedName>
    <definedName function="false" hidden="false" name="KAL_SIGN" vbProcedure="false">Hypothèses!$B$35</definedName>
    <definedName function="false" hidden="false" name="KAL_TOPO" vbProcedure="false">Hypothèses!$B$32</definedName>
    <definedName function="false" hidden="false" name="MOIS_RETARD" vbProcedure="false">Hypothèses!$B$54</definedName>
    <definedName function="false" hidden="false" name="MULT_COORD" vbProcedure="false">Hypothèses!$B$28</definedName>
    <definedName function="false" hidden="false" name="MULT_EQUIP" vbProcedure="false">Hypothèses!$B$51</definedName>
    <definedName function="false" hidden="false" name="MULT_FORM" vbProcedure="false">Hypothèses!$B$27</definedName>
    <definedName function="false" hidden="false" name="MULT_MO" vbProcedure="false">Hypothèses!$B$50</definedName>
    <definedName function="false" hidden="false" name="MULT_SIG" vbProcedure="false">Hypothèses!$B$26</definedName>
    <definedName function="false" hidden="false" name="MULT_TOPO" vbProcedure="false">Hypothèses!$B$25</definedName>
    <definedName function="false" hidden="false" name="NONRES" vbProcedure="false">Hypothèses!$B$9</definedName>
    <definedName function="false" hidden="false" name="PART_EQUIP_CARTO" vbProcedure="false">Hypothèses!$B$52</definedName>
    <definedName function="false" hidden="false" name="PLAQUES_BAT" vbProcedure="false">Hypothèses!$B$47</definedName>
    <definedName function="false" hidden="false" name="POP2014" vbProcedure="false">Hypothèses!$B$5</definedName>
    <definedName function="false" hidden="false" name="POP2026" vbProcedure="false">Hypothèses!$B$41</definedName>
    <definedName function="false" hidden="false" name="POTEAUX" vbProcedure="false">Hypothèses!$B$44</definedName>
    <definedName function="false" hidden="false" name="POTEAUX_KALOUM" vbProcedure="false">Hypothèses!$B$17</definedName>
    <definedName function="false" hidden="false" name="POT_PAR_INTER" vbProcedure="false">Hypothèses!$B$18</definedName>
    <definedName function="false" hidden="false" name="PROVISION_RATE" vbProcedure="false">Hypothèses!$B$22</definedName>
    <definedName function="false" hidden="false" name="QUARTIERS_DIXINN" vbProcedure="false">Hypothèses!$B$10</definedName>
    <definedName function="false" hidden="false" name="QUARTIERS_KALOUM" vbProcedure="false">Hypothèses!$B$14</definedName>
    <definedName function="false" hidden="false" name="SCALE" vbProcedure="false">Hypothèses!$B$43</definedName>
    <definedName function="false" hidden="false" name="VOIES" vbProcedure="false">Hypothèses!$B$46</definedName>
    <definedName function="false" hidden="false" name="VOIES_KALOUM" vbProcedure="false">Hypothèses!$B$15</definedName>
    <definedName function="false" hidden="false" name="YEARS" vbProcedure="false">Hypothèses!$B$7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<sst xmlns="http://schemas.openxmlformats.org/spreadsheetml/2006/main" count="299" uniqueCount="250">
  <si>
    <t xml:space="preserve">Projet national d'adressage de Conakry</t>
  </si>
  <si>
    <t xml:space="preserve">Phase d'extension — Commune de Dixinn</t>
  </si>
  <si>
    <t xml:space="preserve">Modèle de calcul — synthèse (Méridien Aménagement &amp; Ingénierie)</t>
  </si>
  <si>
    <t xml:space="preserve">Bâti et voirie</t>
  </si>
  <si>
    <t xml:space="preserve">Bâtiments estimés (2026)</t>
  </si>
  <si>
    <t xml:space="preserve">Hypothèses — population projetée / taille du ménage</t>
  </si>
  <si>
    <t xml:space="preserve">Quartiers</t>
  </si>
  <si>
    <t xml:space="preserve">Voies estimées</t>
  </si>
  <si>
    <t xml:space="preserve">Intersections estimées</t>
  </si>
  <si>
    <t xml:space="preserve">Poteaux / plaques de rue</t>
  </si>
  <si>
    <t xml:space="preserve">Budget</t>
  </si>
  <si>
    <t xml:space="preserve">Sous-total A+B avant provisions (USD)</t>
  </si>
  <si>
    <t xml:space="preserve">Sous-total A+B avant provisions (GNF)</t>
  </si>
  <si>
    <t xml:space="preserve">Provision pour imprévus (USD)</t>
  </si>
  <si>
    <t xml:space="preserve">Provision pour retards de calendrier (USD)</t>
  </si>
  <si>
    <t xml:space="preserve">BUDGET TOTAL DU PROJET (USD)</t>
  </si>
  <si>
    <t xml:space="preserve">BUDGET TOTAL DU PROJET (GNF)</t>
  </si>
  <si>
    <t xml:space="preserve">Ressources humaines</t>
  </si>
  <si>
    <t xml:space="preserve">Effectif total mobilisé</t>
  </si>
  <si>
    <t xml:space="preserve">Masse salariale estimée (USD)</t>
  </si>
  <si>
    <t xml:space="preserve">Comparaison avec le pilote de Kaloum</t>
  </si>
  <si>
    <t xml:space="preserve">Facteur d'échelle (bâtiments Dixinn / Kaloum)</t>
  </si>
  <si>
    <t xml:space="preserve">Budget Kaloum (référence, avant provision, USD)</t>
  </si>
  <si>
    <t xml:space="preserve">Comment utiliser ce classeur</t>
  </si>
  <si>
    <t xml:space="preserve">1. Feuille « Hypothèses » : toutes les valeurs modifiables (fond jaune, texte bleu) — population, taux de</t>
  </si>
  <si>
    <t xml:space="preserve">   croissance, taux de change, multiplicateurs budgétaires, chiffrage de référence de Kaloum.</t>
  </si>
  <si>
    <t xml:space="preserve">2. Feuilles « Budget », « RH », « Équipements » : calculs détaillés, entièrement formulés à partir des</t>
  </si>
  <si>
    <t xml:space="preserve">   Hypothèses — aucune valeur n'y est codée en dur.</t>
  </si>
  <si>
    <t xml:space="preserve">3. Modifier une hypothèse (ex. population, taux de croissance) recalcule automatiquement l'ensemble du</t>
  </si>
  <si>
    <t xml:space="preserve">   classeur, y compris cette synthèse.</t>
  </si>
  <si>
    <t xml:space="preserve">4. Les chiffres de ce modèle correspondent à ceux de la note de proposition Word (légères différences</t>
  </si>
  <si>
    <t xml:space="preserve">   d'arrondi possibles, la note utilisant des valeurs arrondies pour la lecture).</t>
  </si>
  <si>
    <t xml:space="preserve">Modèle de calcul — Projet d'adressage de Dixinn</t>
  </si>
  <si>
    <t xml:space="preserve">Cellules en bleu sur fond jaune = hypothèses modifiables. Le reste recalcule automatiquement.</t>
  </si>
  <si>
    <t xml:space="preserve">Démographie et bâti — Dixinn</t>
  </si>
  <si>
    <t xml:space="preserve">Population de Dixinn (recensement 2014)</t>
  </si>
  <si>
    <t xml:space="preserve">habitants</t>
  </si>
  <si>
    <t xml:space="preserve">Source : RGPH3 2014 / INS Guinée (Wikipédia, en.wikipedia.org/wiki/Dixinn)</t>
  </si>
  <si>
    <t xml:space="preserve">Taux de croissance urbaine annuel</t>
  </si>
  <si>
    <t xml:space="preserve">%/an</t>
  </si>
  <si>
    <t xml:space="preserve">Calibré pour reproduire la projection 2026 utilisée dans la note Kaloum</t>
  </si>
  <si>
    <t xml:space="preserve">Horizon de projection (2014 → 2026)</t>
  </si>
  <si>
    <t xml:space="preserve">années</t>
  </si>
  <si>
    <t xml:space="preserve">Taille moyenne du ménage</t>
  </si>
  <si>
    <t xml:space="preserve">personnes/ménage</t>
  </si>
  <si>
    <t xml:space="preserve">Majoration bâtiments non résidentiels</t>
  </si>
  <si>
    <t xml:space="preserve">facteur</t>
  </si>
  <si>
    <t xml:space="preserve">Écarts commerces / bureaux / équipements en sus des logements</t>
  </si>
  <si>
    <t xml:space="preserve">Nombre de quartiers de Dixinn</t>
  </si>
  <si>
    <t xml:space="preserve">quartiers</t>
  </si>
  <si>
    <t xml:space="preserve">Source : Annuaire statistique INS Guinée / liste des quartiers de Dixinn</t>
  </si>
  <si>
    <t xml:space="preserve">Référence — phase pilote de Kaloum (déjà chiffrée)</t>
  </si>
  <si>
    <t xml:space="preserve">Bâtiments recensés — Kaloum</t>
  </si>
  <si>
    <t xml:space="preserve">bâtiments</t>
  </si>
  <si>
    <t xml:space="preserve">Quartiers — Kaloum</t>
  </si>
  <si>
    <t xml:space="preserve">Voies estimées — Kaloum</t>
  </si>
  <si>
    <t xml:space="preserve">voies</t>
  </si>
  <si>
    <t xml:space="preserve">Intersections estimées — Kaloum</t>
  </si>
  <si>
    <t xml:space="preserve">intersections</t>
  </si>
  <si>
    <t xml:space="preserve">Poteaux/plaques de rue — Kaloum</t>
  </si>
  <si>
    <t xml:space="preserve">poteaux</t>
  </si>
  <si>
    <t xml:space="preserve">Poteaux par intersection</t>
  </si>
  <si>
    <t xml:space="preserve">poteaux/intersection</t>
  </si>
  <si>
    <t xml:space="preserve">Un poteau par coin de rue</t>
  </si>
  <si>
    <t xml:space="preserve">Change et provision</t>
  </si>
  <si>
    <t xml:space="preserve">Taux de change USD / GNF</t>
  </si>
  <si>
    <t xml:space="preserve">GNF pour 1 $</t>
  </si>
  <si>
    <t xml:space="preserve">Dérivé du chiffrage de la note Kaloum (1 076 000 $ ≈ 9,43 Mds GNF)</t>
  </si>
  <si>
    <t xml:space="preserve">Taux de provision pour imprévus</t>
  </si>
  <si>
    <t xml:space="preserve">%</t>
  </si>
  <si>
    <t xml:space="preserve">Multiplicateurs budgétaires — postes semi-fixes (vs Kaloum)</t>
  </si>
  <si>
    <t xml:space="preserve">Répertoire toponymique et validation communale</t>
  </si>
  <si>
    <t xml:space="preserve">×</t>
  </si>
  <si>
    <t xml:space="preserve">Méthodologie déjà établie avec le pilote ; hausse liée au nb de quartiers</t>
  </si>
  <si>
    <t xml:space="preserve">Base de données SIG et portail numérique</t>
  </si>
  <si>
    <t xml:space="preserve">Plateforme déjà développée pour Kaloum ; coût marginal d'extension</t>
  </si>
  <si>
    <t xml:space="preserve">Formation des agents et sensibilisation</t>
  </si>
  <si>
    <t xml:space="preserve">Lié au nombre de quartiers plutôt qu'au nombre de bâtiments</t>
  </si>
  <si>
    <t xml:space="preserve">Coordination et suivi-évaluation</t>
  </si>
  <si>
    <t xml:space="preserve">Structure de pilotage déjà en place, renforcement partiel</t>
  </si>
  <si>
    <t xml:space="preserve">Budget de référence — phase pilote Kaloum (USD, avant provision)</t>
  </si>
  <si>
    <t xml:space="preserve">Cartographie et collecte de données</t>
  </si>
  <si>
    <t xml:space="preserve">$</t>
  </si>
  <si>
    <t xml:space="preserve">Enquête et numérotation des bâtiments</t>
  </si>
  <si>
    <t xml:space="preserve">Fabrication et pose de la signalétique</t>
  </si>
  <si>
    <t xml:space="preserve">Ajustement — renforcement de la signalétique</t>
  </si>
  <si>
    <t xml:space="preserve">Résultats calculés</t>
  </si>
  <si>
    <t xml:space="preserve">Population de Dixinn projetée (2026)</t>
  </si>
  <si>
    <t xml:space="preserve">Bâtiments totaux estimés (2026)</t>
  </si>
  <si>
    <t xml:space="preserve">Facteur d'échelle vs Kaloum (bâtiments)</t>
  </si>
  <si>
    <t xml:space="preserve">Poteaux / plaques de rue estimés</t>
  </si>
  <si>
    <t xml:space="preserve">Plaques de numérotation de bâtiments</t>
  </si>
  <si>
    <t xml:space="preserve">plaques</t>
  </si>
  <si>
    <t xml:space="preserve">Renforcement demandé (main d'œuvre × 3, équipements × 2) et provision retards</t>
  </si>
  <si>
    <t xml:space="preserve">Facteur de renfort — main d'œuvre terrain</t>
  </si>
  <si>
    <t xml:space="preserve">Appliqué aux agents enquêteurs, agents de sensibilisation, réserve, et à leur encadrement terrain</t>
  </si>
  <si>
    <t xml:space="preserve">Facteur de renfort — équipements techniques</t>
  </si>
  <si>
    <t xml:space="preserve">Appliqué aux GPS, tablettes, ordinateurs et véhicules (pas aux plaques/poteaux, liés au bâti)</t>
  </si>
  <si>
    <t xml:space="preserve">Part « équipement physique » du poste Cartographie</t>
  </si>
  <si>
    <t xml:space="preserve">Le reste du poste correspond à l'imagerie/service, non concerné par le renfort matériel</t>
  </si>
  <si>
    <t xml:space="preserve">Durée indicative du projet</t>
  </si>
  <si>
    <t xml:space="preserve">mois</t>
  </si>
  <si>
    <t xml:space="preserve">Milieu de la fourchette « 12 à 15 mois » de la note de proposition</t>
  </si>
  <si>
    <t xml:space="preserve">Retard à provisionner</t>
  </si>
  <si>
    <t xml:space="preserve">Mois supplémentaires de salaires et de coordination à couvrir en cas de glissement de calendrier</t>
  </si>
  <si>
    <t xml:space="preserve">Budget estimatif — phase d'extension à Dixinn</t>
  </si>
  <si>
    <t xml:space="preserve">A. Postes opérationnels (dérivés du chiffrage du pilote de Kaloum)</t>
  </si>
  <si>
    <t xml:space="preserve">Poste de dépense</t>
  </si>
  <si>
    <t xml:space="preserve">Formule (base Kaloum)</t>
  </si>
  <si>
    <t xml:space="preserve">Montant (USD)</t>
  </si>
  <si>
    <t xml:space="preserve">Montant (GNF)</t>
  </si>
  <si>
    <t xml:space="preserve">Origine du chiffre</t>
  </si>
  <si>
    <t xml:space="preserve">KAL_CARTO × SCALE</t>
  </si>
  <si>
    <t xml:space="preserve">Poste variable — proportionnel au nombre de bâtiments</t>
  </si>
  <si>
    <t xml:space="preserve">KAL_TOPO × MULT_TOPO</t>
  </si>
  <si>
    <t xml:space="preserve">Poste semi-fixe — voir multiplicateur en Hypothèses</t>
  </si>
  <si>
    <t xml:space="preserve">KAL_ENQ × SCALE</t>
  </si>
  <si>
    <t xml:space="preserve">KAL_SIG × MULT_SIG</t>
  </si>
  <si>
    <t xml:space="preserve">Réutilisation de la plateforme développée pour Kaloum</t>
  </si>
  <si>
    <t xml:space="preserve">KAL_SIGN × SCALE</t>
  </si>
  <si>
    <t xml:space="preserve">Poste variable — proportionnel au nombre de bâtiments/poteaux</t>
  </si>
  <si>
    <t xml:space="preserve">KAL_FORM × MULT_FORM</t>
  </si>
  <si>
    <t xml:space="preserve">Poste semi-fixe — lié au nombre de quartiers</t>
  </si>
  <si>
    <t xml:space="preserve">KAL_COORD × MULT_COORD</t>
  </si>
  <si>
    <t xml:space="preserve">Poste semi-fixe — structure de pilotage déjà en place</t>
  </si>
  <si>
    <t xml:space="preserve">KAL_AJUST × SCALE</t>
  </si>
  <si>
    <t xml:space="preserve">Poste variable — proportionnel au nombre de poteaux</t>
  </si>
  <si>
    <t xml:space="preserve">B. Renforts demandés — main d'œuvre × 3 et équipements × 2 (coût incrémental)</t>
  </si>
  <si>
    <t xml:space="preserve">Renfort main d'œuvre terrain (facteur × 3 vs plan de base)</t>
  </si>
  <si>
    <t xml:space="preserve">KAL_ENQ × SCALE × (MULT_MO − 1)</t>
  </si>
  <si>
    <t xml:space="preserve">Coût additionnel des 2 x effectifs terrain supplémentaires (cf. feuille RH)</t>
  </si>
  <si>
    <t xml:space="preserve">Renfort équipements techniques (facteur × 2 vs plan de base)</t>
  </si>
  <si>
    <t xml:space="preserve">KAL_CARTO × SCALE × PART_EQUIP_CARTO × (MULT_EQUIP − 1)</t>
  </si>
  <si>
    <t xml:space="preserve">Coût additionnel du doublement des GPS, tablettes, ordinateurs et véhicules (cf. feuille Équipements)</t>
  </si>
  <si>
    <t xml:space="preserve">SOUS-TOTAL A + B (avant provisions)</t>
  </si>
  <si>
    <t xml:space="preserve">Provision pour imprévus (coûts/quantités)</t>
  </si>
  <si>
    <t xml:space="preserve">Sous-total × PROVISION_RATE</t>
  </si>
  <si>
    <t xml:space="preserve">Taux modifiable en Hypothèses (fourchette usuelle 15-20 %)</t>
  </si>
  <si>
    <t xml:space="preserve">SOUS-TOTAL avec provision pour imprévus</t>
  </si>
  <si>
    <t xml:space="preserve">C. Provision pour retards de calendrier (nouvelle demande)</t>
  </si>
  <si>
    <t xml:space="preserve">Provision pour retards de calendrier</t>
  </si>
  <si>
    <t xml:space="preserve">(Masse salariale + Coordination) ÷ durée × mois de retard</t>
  </si>
  <si>
    <t xml:space="preserve">Couvre des mois supplémentaires de salaires et de coordination en cas de glissement de calendrier — durée et nb de mois modifiables en Hypothèses</t>
  </si>
  <si>
    <t xml:space="preserve">BUDGET TOTAL DU PROJET (toutes provisions incluses)</t>
  </si>
  <si>
    <t xml:space="preserve">Méthode : les postes A sont dérivés du chiffrage réel de la phase pilote de Kaloum (facteur d'échelle ou multiplicateur semi-fixe).</t>
  </si>
  <si>
    <t xml:space="preserve">Les postes B chiffrent le coût additionnel du renfort demandé (main d'œuvre × 3, équipements × 2) au-delà de ce qui est déjà</t>
  </si>
  <si>
    <t xml:space="preserve">financé dans les postes A. Le poste C provisionne un glissement de calendrier de 2 mois (modifiable) sur la masse salariale et</t>
  </si>
  <si>
    <t xml:space="preserve">la coordination. Modifier n'importe quelle hypothèse recalcule automatiquement l'ensemble du budget.</t>
  </si>
  <si>
    <t xml:space="preserve">Ressources humaines — phase d'extension à Dixinn</t>
  </si>
  <si>
    <t xml:space="preserve">9.1. Équipe de coordination et technique</t>
  </si>
  <si>
    <t xml:space="preserve">Poste</t>
  </si>
  <si>
    <t xml:space="preserve">Effectif Kaloum (référence)</t>
  </si>
  <si>
    <t xml:space="preserve">Multiplicateur</t>
  </si>
  <si>
    <t xml:space="preserve">Effectif Dixinn</t>
  </si>
  <si>
    <t xml:space="preserve">Profil recherché</t>
  </si>
  <si>
    <t xml:space="preserve">Chef de projet</t>
  </si>
  <si>
    <t xml:space="preserve">Ingénieur urbaniste / aménagement du territoire, expérience en gestion de projet</t>
  </si>
  <si>
    <t xml:space="preserve">Responsable SIG / géomaticien en chef</t>
  </si>
  <si>
    <t xml:space="preserve">Pilotage de la méthodologie cartographique et de la base de données</t>
  </si>
  <si>
    <t xml:space="preserve">Techniciens SIG / cartographes</t>
  </si>
  <si>
    <t xml:space="preserve">Traitement de l'imagerie, production des cartes, contrôle qualité</t>
  </si>
  <si>
    <t xml:space="preserve">Développeurs informatiques (base de données / portail)</t>
  </si>
  <si>
    <t xml:space="preserve">Adaptation et maintenance du système SIG déjà développé pour Kaloum</t>
  </si>
  <si>
    <t xml:space="preserve">Chefs d'équipe de terrain (superviseurs)</t>
  </si>
  <si>
    <t xml:space="preserve">Encadrement des enquêteurs, contrôle qualité terrain — effectif × facteur de renfort main d'œuvre (Hypothèses)</t>
  </si>
  <si>
    <t xml:space="preserve">9.2. Équipe de terrain (recrutement temporaire, ~12 à 15 mois)</t>
  </si>
  <si>
    <t xml:space="preserve">Agents enquêteurs (numérotation + relevés GPS)</t>
  </si>
  <si>
    <t xml:space="preserve">Niveau bac+2 ou expérience en enquêtes de terrain — effectif × facteur de renfort main d'œuvre (Hypothèses)</t>
  </si>
  <si>
    <t xml:space="preserve">Agents de sensibilisation communautaire</t>
  </si>
  <si>
    <t xml:space="preserve">Liaison avec les chefs de quartiers, médiation avec les habitants — effectif × facteur de renfort main d'œuvre (Hypothèses)</t>
  </si>
  <si>
    <t xml:space="preserve">Personnel de renfort / réserve</t>
  </si>
  <si>
    <t xml:space="preserve">Profil polyvalent, mobilisé selon les besoins — effectif × facteur de renfort main d'œuvre (Hypothèses)</t>
  </si>
  <si>
    <t xml:space="preserve">  (soit en équipes de 2, cf. relevé GPS en binôme)</t>
  </si>
  <si>
    <t xml:space="preserve">9.3. Consultants ponctuels et support (effectifs fixes, non proportionnels au bâti)</t>
  </si>
  <si>
    <t xml:space="preserve">Effectif</t>
  </si>
  <si>
    <t xml:space="preserve">Nature</t>
  </si>
  <si>
    <t xml:space="preserve">Spécialiste toponymie (validation des noms de rues)</t>
  </si>
  <si>
    <t xml:space="preserve">Mission ponctuelle, en lien avec la mairie</t>
  </si>
  <si>
    <t xml:space="preserve">Expert juridique / institutionnel</t>
  </si>
  <si>
    <t xml:space="preserve">Mission ponctuelle, appui au cadre légal</t>
  </si>
  <si>
    <t xml:space="preserve">Personnel administratif et financier</t>
  </si>
  <si>
    <t xml:space="preserve">Comptable / gestionnaire, assistant administratif</t>
  </si>
  <si>
    <t xml:space="preserve">Chauffeurs / logistique</t>
  </si>
  <si>
    <t xml:space="preserve">Postes permanents pour la durée du projet</t>
  </si>
  <si>
    <t xml:space="preserve">Équipe de pose de la signalétique (sous-traitée, coût déjà inclus dans le poste « signalétique »)</t>
  </si>
  <si>
    <t xml:space="preserve">Synthèse effectifs et masse salariale</t>
  </si>
  <si>
    <t xml:space="preserve">Référence masse salariale — Kaloum</t>
  </si>
  <si>
    <t xml:space="preserve">Masse salariale Kaloum (référence, GNF)</t>
  </si>
  <si>
    <t xml:space="preserve">≈ 183 000 $ pour la phase pilote de Kaloum</t>
  </si>
  <si>
    <t xml:space="preserve">Effectif total Kaloum (référence)</t>
  </si>
  <si>
    <t xml:space="preserve">Masse salariale estimée — Dixinn (GNF)</t>
  </si>
  <si>
    <t xml:space="preserve">Masse salariale estimée — Dixinn (USD)</t>
  </si>
  <si>
    <t xml:space="preserve">Les multiplicateurs (colonne bleue) sont modifiables ; les effectifs Dixinn et la masse salariale recalculent automatiquement.</t>
  </si>
  <si>
    <t xml:space="preserve">Équipements et signalétique — phase d'extension à Dixinn</t>
  </si>
  <si>
    <t xml:space="preserve">10.1. Équipements à acquérir</t>
  </si>
  <si>
    <t xml:space="preserve">Article</t>
  </si>
  <si>
    <t xml:space="preserve">Quantité (formule)</t>
  </si>
  <si>
    <t xml:space="preserve">Quantité Dixinn</t>
  </si>
  <si>
    <t xml:space="preserve">Observation</t>
  </si>
  <si>
    <t xml:space="preserve">Récepteurs GPS de précision (sub-métrique)</t>
  </si>
  <si>
    <t xml:space="preserve">ROUND(RH!D13/2,0)+RH!D9</t>
  </si>
  <si>
    <t xml:space="preserve">Un par binôme d'enquêteurs et par superviseur — quantité × facteur de renfort équipements (Hypothèses)</t>
  </si>
  <si>
    <t xml:space="preserve">Tablettes de terrain robustes (collecte mobile)</t>
  </si>
  <si>
    <t xml:space="preserve">RH!D13</t>
  </si>
  <si>
    <t xml:space="preserve">Une par agent enquêteur — quantité × facteur de renfort équipements (Hypothèses)</t>
  </si>
  <si>
    <t xml:space="preserve">Ordinateurs portables (équipe SIG / bureau)</t>
  </si>
  <si>
    <t xml:space="preserve">RH!D7+RH!D8+RH!D5+RH!D6</t>
  </si>
  <si>
    <t xml:space="preserve">Équipe SIG, développeurs, coordination — quantité × facteur de renfort équipements (Hypothèses)</t>
  </si>
  <si>
    <t xml:space="preserve">Licences logiciels SIG</t>
  </si>
  <si>
    <t xml:space="preserve">QGIS (libre) possible en base, avec appui technique payant</t>
  </si>
  <si>
    <t xml:space="preserve">Véhicules 4x4 / motos (location, 12 mois)</t>
  </si>
  <si>
    <t xml:space="preserve">Location préférée à l'achat pour une phase d'extension — quantité × facteur de renfort équipements (Hypothèses)</t>
  </si>
  <si>
    <t xml:space="preserve">Plaques de numérotation des bâtiments</t>
  </si>
  <si>
    <t xml:space="preserve">PLAQUES_BAT</t>
  </si>
  <si>
    <t xml:space="preserve">Une par bâtiment recensé, fabrication et gravure</t>
  </si>
  <si>
    <t xml:space="preserve">Poteau et plaque de rue — fourniture</t>
  </si>
  <si>
    <t xml:space="preserve">POTEAUX</t>
  </si>
  <si>
    <t xml:space="preserve">Un par intersection × 4 coins</t>
  </si>
  <si>
    <t xml:space="preserve">Creusement des trous (main d'œuvre + outillage)</t>
  </si>
  <si>
    <t xml:space="preserve">Un trou par poteau, sol sablonneux côtier</t>
  </si>
  <si>
    <t xml:space="preserve">Ciment et matériaux du massif d'ancrage</t>
  </si>
  <si>
    <t xml:space="preserve">Béton, sable, gravier — massif 30×30×50 cm par poteau</t>
  </si>
  <si>
    <t xml:space="preserve">Main d'œuvre de pose et scellement</t>
  </si>
  <si>
    <t xml:space="preserve">Installation et finition du poteau et de la plaque</t>
  </si>
  <si>
    <t xml:space="preserve">10.4.5. Coût d'installation par poteau (composantes unitaires, GNF)</t>
  </si>
  <si>
    <t xml:space="preserve">Coût unitaire (GNF)</t>
  </si>
  <si>
    <t xml:space="preserve">Détail</t>
  </si>
  <si>
    <t xml:space="preserve">Fourniture (poteau acier galvanisé + plaque émaillée)</t>
  </si>
  <si>
    <t xml:space="preserve">Matériel prêt à poser</t>
  </si>
  <si>
    <t xml:space="preserve">Creusement du trou</t>
  </si>
  <si>
    <t xml:space="preserve">Main d'œuvre + outillage manuel</t>
  </si>
  <si>
    <t xml:space="preserve">Béton, sable, gravier (massif 30×30×50 cm)</t>
  </si>
  <si>
    <t xml:space="preserve">Mise en place, alignement, finition</t>
  </si>
  <si>
    <t xml:space="preserve">TOTAL PAR POTEAU</t>
  </si>
  <si>
    <t xml:space="preserve">Coût total poteaux (GNF)</t>
  </si>
  <si>
    <t xml:space="preserve">Coût total poteaux (USD)</t>
  </si>
  <si>
    <t xml:space="preserve">10.4.3. Devis comparatif par matériau (signalétique complète : plaques bâtiment + poteaux)</t>
  </si>
  <si>
    <t xml:space="preserve">Matériau</t>
  </si>
  <si>
    <t xml:space="preserve">Coût unitaire relatif (vs plexiglas)</t>
  </si>
  <si>
    <t xml:space="preserve">Coût total (USD)</t>
  </si>
  <si>
    <t xml:space="preserve">Coût total (GNF)</t>
  </si>
  <si>
    <t xml:space="preserve">Avantage principal</t>
  </si>
  <si>
    <t xml:space="preserve">Acier émaillé (tout matériel)</t>
  </si>
  <si>
    <t xml:space="preserve">Durabilité maximale (décennies), résistance aux UV et aux graffitis</t>
  </si>
  <si>
    <t xml:space="preserve">Aluminium laqué anti-UV (tout matériel)</t>
  </si>
  <si>
    <t xml:space="preserve">Meilleur équilibre coût/durabilité, léger à poser</t>
  </si>
  <si>
    <t xml:space="preserve">Plexiglas (tout matériel)</t>
  </si>
  <si>
    <t xml:space="preserve">Coût d'achat le plus bas, impression numérique nette</t>
  </si>
  <si>
    <t xml:space="preserve">Colonne B = coût de référence Kaloum (à titre de comparaison entre matériaux) ; colonne C = mis à l'échelle de Dixinn.</t>
  </si>
  <si>
    <t xml:space="preserve">Toutes les quantités marquées en formule recalculent automatiquement à partir des feuilles Hypothèses et RH.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</si>
</sst>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"/>
    <numFmt numFmtId="167" formatCode="#,##0&quot; GNF&quot;"/>
    <numFmt numFmtId="168" formatCode="0.00\×"/>
    <numFmt numFmtId="169" formatCode="0.0%"/>
    <numFmt numFmtId="170" formatCode="#,##0.00"/>
    <numFmt numFmtId="171" formatCode="#,##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59595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0061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7E6E6"/>
        <bgColor rgb="FFE2EFDA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7E6E6"/>
      </patternFill>
    </fill>
    <fill>
      <patternFill patternType="solid">
        <fgColor rgb="FFFCE4D6"/>
        <bgColor rgb="FFFFF2CC"/>
      </patternFill>
    </fill>
    <fill>
      <patternFill patternType="solid">
        <fgColor rgb="FFD9E2F3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3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6A1B9A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1565C0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D4AF37"/>
      <rgbColor rgb="FFFF6600"/>
      <rgbColor rgb="FF59595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4"/>
    <col collapsed="false" customWidth="true" hidden="false" outlineLevel="0" max="3" min="3" style="1" width="50"/>
  </cols>
  <sheetData>
    <row r="1" customFormat="false" ht="15" hidden="false" customHeight="true" outlineLevel="0" collapsed="false">
      <c r="A1" s="2" t="s">
        <v>0</v>
      </c>
    </row>
    <row r="2" customFormat="false" ht="19.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6"/>
      <c r="C5" s="6"/>
    </row>
    <row r="6" customFormat="false" ht="15.75" hidden="false" customHeight="true" outlineLevel="0" collapsed="false">
      <c r="A6" s="7" t="s">
        <v>4</v>
      </c>
      <c r="B6" s="8" t="n">
        <f aca="false">BATIMENTS</f>
        <v>42495</v>
      </c>
      <c r="C6" s="4" t="s">
        <v>5</v>
      </c>
    </row>
    <row r="7" customFormat="false" ht="15.75" hidden="false" customHeight="true" outlineLevel="0" collapsed="false">
      <c r="A7" s="7" t="s">
        <v>6</v>
      </c>
      <c r="B7" s="8" t="n">
        <f aca="false">QUARTIERS_DIXINN</f>
        <v>21</v>
      </c>
    </row>
    <row r="8" customFormat="false" ht="15.75" hidden="false" customHeight="true" outlineLevel="0" collapsed="false">
      <c r="A8" s="7" t="s">
        <v>7</v>
      </c>
      <c r="B8" s="8" t="n">
        <f aca="false">VOIES</f>
        <v>482</v>
      </c>
    </row>
    <row r="9" customFormat="false" ht="15.75" hidden="false" customHeight="true" outlineLevel="0" collapsed="false">
      <c r="A9" s="7" t="s">
        <v>8</v>
      </c>
      <c r="B9" s="8" t="n">
        <f aca="false">INTERSECTIONS</f>
        <v>723</v>
      </c>
    </row>
    <row r="10" customFormat="false" ht="15.75" hidden="false" customHeight="true" outlineLevel="0" collapsed="false">
      <c r="A10" s="7" t="s">
        <v>9</v>
      </c>
      <c r="B10" s="8" t="n">
        <f aca="false">POTEAUX</f>
        <v>2890</v>
      </c>
    </row>
    <row r="12" customFormat="false" ht="15" hidden="false" customHeight="true" outlineLevel="0" collapsed="false">
      <c r="A12" s="5" t="s">
        <v>10</v>
      </c>
      <c r="B12" s="6"/>
      <c r="C12" s="6"/>
    </row>
    <row r="13" customFormat="false" ht="15.75" hidden="false" customHeight="true" outlineLevel="0" collapsed="false">
      <c r="A13" s="7" t="s">
        <v>11</v>
      </c>
      <c r="B13" s="9" t="n">
        <f aca="false">Budget!C18</f>
        <v>3014033</v>
      </c>
    </row>
    <row r="14" customFormat="false" ht="15.75" hidden="false" customHeight="true" outlineLevel="0" collapsed="false">
      <c r="A14" s="7" t="s">
        <v>12</v>
      </c>
      <c r="B14" s="10" t="n">
        <f aca="false">Budget!D18</f>
        <v>26421013278</v>
      </c>
    </row>
    <row r="15" customFormat="false" ht="15.75" hidden="false" customHeight="true" outlineLevel="0" collapsed="false">
      <c r="A15" s="7" t="s">
        <v>13</v>
      </c>
      <c r="B15" s="9" t="n">
        <f aca="false">Budget!C19</f>
        <v>542526</v>
      </c>
    </row>
    <row r="16" customFormat="false" ht="15.75" hidden="false" customHeight="true" outlineLevel="0" collapsed="false">
      <c r="A16" s="7" t="s">
        <v>14</v>
      </c>
      <c r="B16" s="9" t="n">
        <f aca="false">Budget!C23</f>
        <v>145217</v>
      </c>
    </row>
    <row r="17" customFormat="false" ht="15.75" hidden="false" customHeight="true" outlineLevel="0" collapsed="false">
      <c r="A17" s="7" t="s">
        <v>15</v>
      </c>
      <c r="B17" s="9" t="n">
        <f aca="false">Budget!C25</f>
        <v>3701776</v>
      </c>
    </row>
    <row r="18" customFormat="false" ht="16.15" hidden="false" customHeight="false" outlineLevel="0" collapsed="false">
      <c r="A18" s="7" t="s">
        <v>16</v>
      </c>
      <c r="B18" s="10" t="n">
        <f aca="false">Budget!D25</f>
        <v>32449768416</v>
      </c>
    </row>
    <row r="19" customFormat="false" ht="15" hidden="false" customHeight="true" outlineLevel="0" collapsed="false">
      <c r="A19" s="5" t="s">
        <v>17</v>
      </c>
      <c r="B19" s="6"/>
      <c r="C19" s="6"/>
    </row>
    <row r="20" customFormat="false" ht="15.75" hidden="false" customHeight="true" outlineLevel="0" collapsed="false">
      <c r="A20" s="7" t="s">
        <v>18</v>
      </c>
      <c r="B20" s="8" t="n">
        <f aca="false">RH!D27</f>
        <v>180</v>
      </c>
    </row>
    <row r="21" customFormat="false" ht="15.75" hidden="false" customHeight="true" outlineLevel="0" collapsed="false">
      <c r="A21" s="7" t="s">
        <v>19</v>
      </c>
      <c r="B21" s="9" t="n">
        <f aca="false">RH!D33</f>
        <v>842416</v>
      </c>
    </row>
    <row r="23" customFormat="false" ht="15" hidden="false" customHeight="true" outlineLevel="0" collapsed="false">
      <c r="A23" s="5" t="s">
        <v>20</v>
      </c>
      <c r="B23" s="6"/>
      <c r="C23" s="6"/>
    </row>
    <row r="24" customFormat="false" ht="15.75" hidden="false" customHeight="true" outlineLevel="0" collapsed="false">
      <c r="A24" s="7" t="s">
        <v>21</v>
      </c>
      <c r="B24" s="11" t="n">
        <f aca="false">SCALE</f>
        <v>2.19046391752577</v>
      </c>
    </row>
    <row r="25" customFormat="false" ht="15.75" hidden="false" customHeight="true" outlineLevel="0" collapsed="false">
      <c r="A25" s="7" t="s">
        <v>22</v>
      </c>
      <c r="B25" s="9" t="n">
        <f aca="false">KAL_CARTO+KAL_TOPO+KAL_ENQ+KAL_SIG+KAL_SIGN+KAL_FORM+KAL_COORD+KAL_AJUST</f>
        <v>1075000</v>
      </c>
    </row>
    <row r="28" customFormat="false" ht="15" hidden="false" customHeight="true" outlineLevel="0" collapsed="false">
      <c r="A28" s="12" t="s">
        <v>23</v>
      </c>
    </row>
    <row r="29" customFormat="false" ht="15" hidden="false" customHeight="true" outlineLevel="0" collapsed="false">
      <c r="A29" s="4" t="s">
        <v>24</v>
      </c>
    </row>
    <row r="30" customFormat="false" ht="15" hidden="false" customHeight="true" outlineLevel="0" collapsed="false">
      <c r="A30" s="4" t="s">
        <v>25</v>
      </c>
    </row>
    <row r="31" customFormat="false" ht="15" hidden="false" customHeight="true" outlineLevel="0" collapsed="false">
      <c r="A31" s="4" t="s">
        <v>26</v>
      </c>
    </row>
    <row r="32" customFormat="false" ht="15" hidden="false" customHeight="true" outlineLevel="0" collapsed="false">
      <c r="A32" s="4" t="s">
        <v>27</v>
      </c>
    </row>
    <row r="33" customFormat="false" ht="15" hidden="false" customHeight="true" outlineLevel="0" collapsed="false">
      <c r="A33" s="4" t="s">
        <v>28</v>
      </c>
    </row>
    <row r="34" customFormat="false" ht="15" hidden="false" customHeight="true" outlineLevel="0" collapsed="false">
      <c r="A34" s="4" t="s">
        <v>29</v>
      </c>
    </row>
    <row r="35" customFormat="false" ht="15" hidden="false" customHeight="true" outlineLevel="0" collapsed="false">
      <c r="A35" s="4" t="s">
        <v>30</v>
      </c>
    </row>
    <row r="36" customFormat="false" ht="15" hidden="false" customHeight="true" outlineLevel="0" collapsed="false">
      <c r="A36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F37"/>
    <pageSetUpPr fitToPage="false"/>
  </sheetPr>
  <dimension ref="A1:D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45"/>
  </cols>
  <sheetData>
    <row r="1" customFormat="false" ht="17.25" hidden="false" customHeight="true" outlineLevel="0" collapsed="false">
      <c r="A1" s="13" t="s">
        <v>32</v>
      </c>
    </row>
    <row r="2" customFormat="false" ht="15" hidden="false" customHeight="true" outlineLevel="0" collapsed="false">
      <c r="A2" s="4" t="s">
        <v>33</v>
      </c>
    </row>
    <row r="4" customFormat="false" ht="15" hidden="false" customHeight="true" outlineLevel="0" collapsed="false">
      <c r="A4" s="14" t="s">
        <v>34</v>
      </c>
      <c r="B4" s="6"/>
      <c r="C4" s="6"/>
      <c r="D4" s="6"/>
    </row>
    <row r="5" customFormat="false" ht="15" hidden="false" customHeight="true" outlineLevel="0" collapsed="false">
      <c r="A5" s="15" t="s">
        <v>35</v>
      </c>
      <c r="B5" s="16" t="n">
        <v>137287</v>
      </c>
      <c r="C5" s="4" t="s">
        <v>36</v>
      </c>
      <c r="D5" s="4" t="s">
        <v>37</v>
      </c>
    </row>
    <row r="6" customFormat="false" ht="15" hidden="false" customHeight="true" outlineLevel="0" collapsed="false">
      <c r="A6" s="15" t="s">
        <v>38</v>
      </c>
      <c r="B6" s="17" t="n">
        <v>0.04</v>
      </c>
      <c r="C6" s="4" t="s">
        <v>39</v>
      </c>
      <c r="D6" s="4" t="s">
        <v>40</v>
      </c>
    </row>
    <row r="7" customFormat="false" ht="15" hidden="false" customHeight="true" outlineLevel="0" collapsed="false">
      <c r="A7" s="15" t="s">
        <v>41</v>
      </c>
      <c r="B7" s="18" t="n">
        <v>12</v>
      </c>
      <c r="C7" s="4" t="s">
        <v>42</v>
      </c>
    </row>
    <row r="8" customFormat="false" ht="15" hidden="false" customHeight="true" outlineLevel="0" collapsed="false">
      <c r="A8" s="15" t="s">
        <v>43</v>
      </c>
      <c r="B8" s="18" t="n">
        <v>6</v>
      </c>
      <c r="C8" s="4" t="s">
        <v>44</v>
      </c>
    </row>
    <row r="9" customFormat="false" ht="15" hidden="false" customHeight="true" outlineLevel="0" collapsed="false">
      <c r="A9" s="15" t="s">
        <v>45</v>
      </c>
      <c r="B9" s="19" t="n">
        <v>1.16</v>
      </c>
      <c r="C9" s="4" t="s">
        <v>46</v>
      </c>
      <c r="D9" s="4" t="s">
        <v>47</v>
      </c>
    </row>
    <row r="10" customFormat="false" ht="15" hidden="false" customHeight="true" outlineLevel="0" collapsed="false">
      <c r="A10" s="15" t="s">
        <v>48</v>
      </c>
      <c r="B10" s="18" t="n">
        <v>21</v>
      </c>
      <c r="C10" s="4" t="s">
        <v>49</v>
      </c>
      <c r="D10" s="4" t="s">
        <v>50</v>
      </c>
    </row>
    <row r="12" customFormat="false" ht="15" hidden="false" customHeight="true" outlineLevel="0" collapsed="false">
      <c r="A12" s="14" t="s">
        <v>51</v>
      </c>
      <c r="B12" s="6"/>
      <c r="C12" s="6"/>
      <c r="D12" s="6"/>
    </row>
    <row r="13" customFormat="false" ht="15" hidden="false" customHeight="true" outlineLevel="0" collapsed="false">
      <c r="A13" s="15" t="s">
        <v>52</v>
      </c>
      <c r="B13" s="18" t="n">
        <v>19400</v>
      </c>
      <c r="C13" s="4" t="s">
        <v>53</v>
      </c>
    </row>
    <row r="14" customFormat="false" ht="15" hidden="false" customHeight="true" outlineLevel="0" collapsed="false">
      <c r="A14" s="15" t="s">
        <v>54</v>
      </c>
      <c r="B14" s="18" t="n">
        <v>11</v>
      </c>
      <c r="C14" s="4" t="s">
        <v>49</v>
      </c>
    </row>
    <row r="15" customFormat="false" ht="15" hidden="false" customHeight="true" outlineLevel="0" collapsed="false">
      <c r="A15" s="15" t="s">
        <v>55</v>
      </c>
      <c r="B15" s="18" t="n">
        <v>220</v>
      </c>
      <c r="C15" s="4" t="s">
        <v>56</v>
      </c>
    </row>
    <row r="16" customFormat="false" ht="15" hidden="false" customHeight="true" outlineLevel="0" collapsed="false">
      <c r="A16" s="15" t="s">
        <v>57</v>
      </c>
      <c r="B16" s="18" t="n">
        <v>330</v>
      </c>
      <c r="C16" s="4" t="s">
        <v>58</v>
      </c>
    </row>
    <row r="17" customFormat="false" ht="15" hidden="false" customHeight="true" outlineLevel="0" collapsed="false">
      <c r="A17" s="15" t="s">
        <v>59</v>
      </c>
      <c r="B17" s="18" t="n">
        <v>1320</v>
      </c>
      <c r="C17" s="4" t="s">
        <v>60</v>
      </c>
    </row>
    <row r="18" customFormat="false" ht="15" hidden="false" customHeight="true" outlineLevel="0" collapsed="false">
      <c r="A18" s="15" t="s">
        <v>61</v>
      </c>
      <c r="B18" s="18" t="n">
        <v>4</v>
      </c>
      <c r="C18" s="4" t="s">
        <v>62</v>
      </c>
      <c r="D18" s="4" t="s">
        <v>63</v>
      </c>
    </row>
    <row r="20" customFormat="false" ht="15" hidden="false" customHeight="true" outlineLevel="0" collapsed="false">
      <c r="A20" s="14" t="s">
        <v>64</v>
      </c>
      <c r="B20" s="6"/>
      <c r="C20" s="6"/>
      <c r="D20" s="6"/>
    </row>
    <row r="21" customFormat="false" ht="15" hidden="false" customHeight="true" outlineLevel="0" collapsed="false">
      <c r="A21" s="15" t="s">
        <v>65</v>
      </c>
      <c r="B21" s="18" t="n">
        <v>8766</v>
      </c>
      <c r="C21" s="4" t="s">
        <v>66</v>
      </c>
      <c r="D21" s="4" t="s">
        <v>67</v>
      </c>
    </row>
    <row r="22" customFormat="false" ht="15" hidden="false" customHeight="true" outlineLevel="0" collapsed="false">
      <c r="A22" s="15" t="s">
        <v>68</v>
      </c>
      <c r="B22" s="17" t="n">
        <v>0.18</v>
      </c>
      <c r="C22" s="4" t="s">
        <v>69</v>
      </c>
    </row>
    <row r="24" customFormat="false" ht="15" hidden="false" customHeight="true" outlineLevel="0" collapsed="false">
      <c r="A24" s="14" t="s">
        <v>70</v>
      </c>
      <c r="B24" s="6"/>
      <c r="C24" s="6"/>
      <c r="D24" s="6"/>
    </row>
    <row r="25" customFormat="false" ht="15" hidden="false" customHeight="true" outlineLevel="0" collapsed="false">
      <c r="A25" s="15" t="s">
        <v>71</v>
      </c>
      <c r="B25" s="18" t="n">
        <v>1.3</v>
      </c>
      <c r="C25" s="4" t="s">
        <v>72</v>
      </c>
      <c r="D25" s="4" t="s">
        <v>73</v>
      </c>
    </row>
    <row r="26" customFormat="false" ht="15" hidden="false" customHeight="true" outlineLevel="0" collapsed="false">
      <c r="A26" s="15" t="s">
        <v>74</v>
      </c>
      <c r="B26" s="18" t="n">
        <v>0.5</v>
      </c>
      <c r="C26" s="4" t="s">
        <v>72</v>
      </c>
      <c r="D26" s="4" t="s">
        <v>75</v>
      </c>
    </row>
    <row r="27" customFormat="false" ht="15" hidden="false" customHeight="true" outlineLevel="0" collapsed="false">
      <c r="A27" s="15" t="s">
        <v>76</v>
      </c>
      <c r="B27" s="18" t="n">
        <v>1.5</v>
      </c>
      <c r="C27" s="4" t="s">
        <v>72</v>
      </c>
      <c r="D27" s="4" t="s">
        <v>77</v>
      </c>
    </row>
    <row r="28" customFormat="false" ht="15" hidden="false" customHeight="true" outlineLevel="0" collapsed="false">
      <c r="A28" s="15" t="s">
        <v>78</v>
      </c>
      <c r="B28" s="18" t="n">
        <v>1.3</v>
      </c>
      <c r="C28" s="4" t="s">
        <v>72</v>
      </c>
      <c r="D28" s="4" t="s">
        <v>79</v>
      </c>
    </row>
    <row r="30" customFormat="false" ht="15" hidden="false" customHeight="true" outlineLevel="0" collapsed="false">
      <c r="A30" s="14" t="s">
        <v>80</v>
      </c>
      <c r="B30" s="6"/>
      <c r="C30" s="6"/>
      <c r="D30" s="6"/>
    </row>
    <row r="31" customFormat="false" ht="15" hidden="false" customHeight="true" outlineLevel="0" collapsed="false">
      <c r="A31" s="15" t="s">
        <v>81</v>
      </c>
      <c r="B31" s="18" t="n">
        <v>266000</v>
      </c>
      <c r="C31" s="4" t="s">
        <v>82</v>
      </c>
    </row>
    <row r="32" customFormat="false" ht="15" hidden="false" customHeight="true" outlineLevel="0" collapsed="false">
      <c r="A32" s="15" t="s">
        <v>71</v>
      </c>
      <c r="B32" s="18" t="n">
        <v>53000</v>
      </c>
      <c r="C32" s="4" t="s">
        <v>82</v>
      </c>
    </row>
    <row r="33" customFormat="false" ht="15" hidden="false" customHeight="true" outlineLevel="0" collapsed="false">
      <c r="A33" s="15" t="s">
        <v>83</v>
      </c>
      <c r="B33" s="18" t="n">
        <v>213000</v>
      </c>
      <c r="C33" s="4" t="s">
        <v>82</v>
      </c>
    </row>
    <row r="34" customFormat="false" ht="15" hidden="false" customHeight="true" outlineLevel="0" collapsed="false">
      <c r="A34" s="15" t="s">
        <v>74</v>
      </c>
      <c r="B34" s="18" t="n">
        <v>160000</v>
      </c>
      <c r="C34" s="4" t="s">
        <v>82</v>
      </c>
    </row>
    <row r="35" customFormat="false" ht="15" hidden="false" customHeight="true" outlineLevel="0" collapsed="false">
      <c r="A35" s="15" t="s">
        <v>84</v>
      </c>
      <c r="B35" s="18" t="n">
        <v>213000</v>
      </c>
      <c r="C35" s="4" t="s">
        <v>82</v>
      </c>
    </row>
    <row r="36" customFormat="false" ht="15" hidden="false" customHeight="true" outlineLevel="0" collapsed="false">
      <c r="A36" s="15" t="s">
        <v>76</v>
      </c>
      <c r="B36" s="18" t="n">
        <v>53000</v>
      </c>
      <c r="C36" s="4" t="s">
        <v>82</v>
      </c>
    </row>
    <row r="37" customFormat="false" ht="15" hidden="false" customHeight="true" outlineLevel="0" collapsed="false">
      <c r="A37" s="15" t="s">
        <v>78</v>
      </c>
      <c r="B37" s="18" t="n">
        <v>106000</v>
      </c>
      <c r="C37" s="4" t="s">
        <v>82</v>
      </c>
    </row>
    <row r="38" customFormat="false" ht="15" hidden="false" customHeight="true" outlineLevel="0" collapsed="false">
      <c r="A38" s="15" t="s">
        <v>85</v>
      </c>
      <c r="B38" s="18" t="n">
        <v>11000</v>
      </c>
      <c r="C38" s="4" t="s">
        <v>82</v>
      </c>
    </row>
    <row r="40" customFormat="false" ht="15" hidden="false" customHeight="true" outlineLevel="0" collapsed="false">
      <c r="A40" s="14" t="s">
        <v>86</v>
      </c>
      <c r="B40" s="6"/>
      <c r="C40" s="6"/>
      <c r="D40" s="6"/>
    </row>
    <row r="41" customFormat="false" ht="15" hidden="false" customHeight="true" outlineLevel="0" collapsed="false">
      <c r="A41" s="20" t="s">
        <v>87</v>
      </c>
      <c r="B41" s="21" t="n">
        <f aca="false">POP2014*(1+GROWTH)^YEARS</f>
        <v>219800.910190501</v>
      </c>
      <c r="C41" s="4" t="s">
        <v>36</v>
      </c>
    </row>
    <row r="42" customFormat="false" ht="15" hidden="false" customHeight="true" outlineLevel="0" collapsed="false">
      <c r="A42" s="20" t="s">
        <v>88</v>
      </c>
      <c r="B42" s="21" t="n">
        <f aca="false">ROUND(POP2026/HHSIZE*NONRES,0)</f>
        <v>42495</v>
      </c>
      <c r="C42" s="4" t="s">
        <v>53</v>
      </c>
    </row>
    <row r="43" customFormat="false" ht="15" hidden="false" customHeight="true" outlineLevel="0" collapsed="false">
      <c r="A43" s="20" t="s">
        <v>89</v>
      </c>
      <c r="B43" s="22" t="n">
        <f aca="false">BATIMENTS/BAT_KALOUM</f>
        <v>2.19046391752577</v>
      </c>
      <c r="C43" s="4" t="s">
        <v>72</v>
      </c>
    </row>
    <row r="44" customFormat="false" ht="15" hidden="false" customHeight="true" outlineLevel="0" collapsed="false">
      <c r="A44" s="20" t="s">
        <v>90</v>
      </c>
      <c r="B44" s="21" t="n">
        <f aca="false">ROUND(POTEAUX_KALOUM*SCALE/10,0)*10</f>
        <v>2890</v>
      </c>
      <c r="C44" s="4" t="s">
        <v>60</v>
      </c>
    </row>
    <row r="45" customFormat="false" ht="15" hidden="false" customHeight="true" outlineLevel="0" collapsed="false">
      <c r="A45" s="20" t="s">
        <v>8</v>
      </c>
      <c r="B45" s="21" t="n">
        <f aca="false">ROUND(POTEAUX/POT_PAR_INTER,0)</f>
        <v>723</v>
      </c>
      <c r="C45" s="4" t="s">
        <v>58</v>
      </c>
    </row>
    <row r="46" customFormat="false" ht="15" hidden="false" customHeight="true" outlineLevel="0" collapsed="false">
      <c r="A46" s="20" t="s">
        <v>7</v>
      </c>
      <c r="B46" s="21" t="n">
        <f aca="false">ROUND(INTERSECTIONS/(INTERS_KALOUM/VOIES_KALOUM),0)</f>
        <v>482</v>
      </c>
      <c r="C46" s="4" t="s">
        <v>56</v>
      </c>
    </row>
    <row r="47" customFormat="false" ht="15" hidden="false" customHeight="true" outlineLevel="0" collapsed="false">
      <c r="A47" s="20" t="s">
        <v>91</v>
      </c>
      <c r="B47" s="21" t="n">
        <f aca="false">BATIMENTS</f>
        <v>42495</v>
      </c>
      <c r="C47" s="4" t="s">
        <v>92</v>
      </c>
    </row>
    <row r="49" customFormat="false" ht="15" hidden="false" customHeight="false" outlineLevel="0" collapsed="false">
      <c r="A49" s="14" t="s">
        <v>93</v>
      </c>
      <c r="B49" s="6"/>
      <c r="C49" s="6"/>
      <c r="D49" s="6"/>
    </row>
    <row r="50" customFormat="false" ht="15" hidden="false" customHeight="false" outlineLevel="0" collapsed="false">
      <c r="A50" s="15" t="s">
        <v>94</v>
      </c>
      <c r="B50" s="23" t="n">
        <v>3</v>
      </c>
      <c r="C50" s="4" t="s">
        <v>72</v>
      </c>
      <c r="D50" s="4" t="s">
        <v>95</v>
      </c>
    </row>
    <row r="51" customFormat="false" ht="15" hidden="false" customHeight="false" outlineLevel="0" collapsed="false">
      <c r="A51" s="15" t="s">
        <v>96</v>
      </c>
      <c r="B51" s="23" t="n">
        <v>2</v>
      </c>
      <c r="C51" s="4" t="s">
        <v>72</v>
      </c>
      <c r="D51" s="4" t="s">
        <v>97</v>
      </c>
    </row>
    <row r="52" customFormat="false" ht="15" hidden="false" customHeight="false" outlineLevel="0" collapsed="false">
      <c r="A52" s="15" t="s">
        <v>98</v>
      </c>
      <c r="B52" s="17" t="n">
        <v>0.3</v>
      </c>
      <c r="C52" s="4" t="s">
        <v>69</v>
      </c>
      <c r="D52" s="4" t="s">
        <v>99</v>
      </c>
    </row>
    <row r="53" customFormat="false" ht="15" hidden="false" customHeight="false" outlineLevel="0" collapsed="false">
      <c r="A53" s="15" t="s">
        <v>100</v>
      </c>
      <c r="B53" s="18" t="n">
        <v>13.5</v>
      </c>
      <c r="C53" s="4" t="s">
        <v>101</v>
      </c>
      <c r="D53" s="4" t="s">
        <v>102</v>
      </c>
    </row>
    <row r="54" customFormat="false" ht="15" hidden="false" customHeight="false" outlineLevel="0" collapsed="false">
      <c r="A54" s="15" t="s">
        <v>103</v>
      </c>
      <c r="B54" s="18" t="n">
        <v>2</v>
      </c>
      <c r="C54" s="4" t="s">
        <v>101</v>
      </c>
      <c r="D54" s="4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3" min="2" style="1" width="16"/>
    <col collapsed="false" customWidth="true" hidden="false" outlineLevel="0" max="4" min="4" style="1" width="18"/>
    <col collapsed="false" customWidth="true" hidden="false" outlineLevel="0" max="5" min="5" style="1" width="48"/>
  </cols>
  <sheetData>
    <row r="1" customFormat="false" ht="17.35" hidden="false" customHeight="false" outlineLevel="0" collapsed="false">
      <c r="A1" s="13" t="s">
        <v>105</v>
      </c>
    </row>
    <row r="3" customFormat="false" ht="15" hidden="false" customHeight="false" outlineLevel="0" collapsed="false">
      <c r="A3" s="14" t="s">
        <v>106</v>
      </c>
      <c r="B3" s="6"/>
      <c r="C3" s="6"/>
      <c r="D3" s="6"/>
      <c r="E3" s="6"/>
    </row>
    <row r="4" customFormat="false" ht="26.85" hidden="false" customHeight="false" outlineLevel="0" collapsed="false">
      <c r="A4" s="24" t="s">
        <v>107</v>
      </c>
      <c r="B4" s="24" t="s">
        <v>108</v>
      </c>
      <c r="C4" s="24" t="s">
        <v>109</v>
      </c>
      <c r="D4" s="24" t="s">
        <v>110</v>
      </c>
      <c r="E4" s="24" t="s">
        <v>111</v>
      </c>
    </row>
    <row r="5" customFormat="false" ht="15" hidden="false" customHeight="false" outlineLevel="0" collapsed="false">
      <c r="A5" s="15" t="s">
        <v>81</v>
      </c>
      <c r="B5" s="4" t="s">
        <v>112</v>
      </c>
      <c r="C5" s="25" t="n">
        <f aca="false">ROUND(KAL_CARTO*SCALE,0)</f>
        <v>582663</v>
      </c>
      <c r="D5" s="26" t="n">
        <f aca="false">C5*FX_RATE</f>
        <v>5107623858</v>
      </c>
      <c r="E5" s="4" t="s">
        <v>113</v>
      </c>
    </row>
    <row r="6" customFormat="false" ht="15" hidden="false" customHeight="false" outlineLevel="0" collapsed="false">
      <c r="A6" s="27" t="s">
        <v>71</v>
      </c>
      <c r="B6" s="28" t="s">
        <v>114</v>
      </c>
      <c r="C6" s="29" t="n">
        <f aca="false">ROUND(KAL_TOPO*MULT_TOPO,0)</f>
        <v>68900</v>
      </c>
      <c r="D6" s="30" t="n">
        <f aca="false">C6*FX_RATE</f>
        <v>603977400</v>
      </c>
      <c r="E6" s="28" t="s">
        <v>115</v>
      </c>
    </row>
    <row r="7" customFormat="false" ht="15" hidden="false" customHeight="false" outlineLevel="0" collapsed="false">
      <c r="A7" s="15" t="s">
        <v>83</v>
      </c>
      <c r="B7" s="4" t="s">
        <v>116</v>
      </c>
      <c r="C7" s="25" t="n">
        <f aca="false">ROUND(KAL_ENQ*SCALE,0)</f>
        <v>466569</v>
      </c>
      <c r="D7" s="26" t="n">
        <f aca="false">C7*FX_RATE</f>
        <v>4089943854</v>
      </c>
      <c r="E7" s="4" t="s">
        <v>113</v>
      </c>
    </row>
    <row r="8" customFormat="false" ht="15" hidden="false" customHeight="false" outlineLevel="0" collapsed="false">
      <c r="A8" s="27" t="s">
        <v>74</v>
      </c>
      <c r="B8" s="28" t="s">
        <v>117</v>
      </c>
      <c r="C8" s="29" t="n">
        <f aca="false">ROUND(KAL_SIG*MULT_SIG,0)</f>
        <v>80000</v>
      </c>
      <c r="D8" s="30" t="n">
        <f aca="false">C8*FX_RATE</f>
        <v>701280000</v>
      </c>
      <c r="E8" s="28" t="s">
        <v>118</v>
      </c>
    </row>
    <row r="9" customFormat="false" ht="15" hidden="false" customHeight="false" outlineLevel="0" collapsed="false">
      <c r="A9" s="15" t="s">
        <v>84</v>
      </c>
      <c r="B9" s="4" t="s">
        <v>119</v>
      </c>
      <c r="C9" s="25" t="n">
        <f aca="false">ROUND(KAL_SIGN*SCALE,0)</f>
        <v>466569</v>
      </c>
      <c r="D9" s="26" t="n">
        <f aca="false">C9*FX_RATE</f>
        <v>4089943854</v>
      </c>
      <c r="E9" s="4" t="s">
        <v>120</v>
      </c>
    </row>
    <row r="10" customFormat="false" ht="15" hidden="false" customHeight="false" outlineLevel="0" collapsed="false">
      <c r="A10" s="27" t="s">
        <v>76</v>
      </c>
      <c r="B10" s="28" t="s">
        <v>121</v>
      </c>
      <c r="C10" s="29" t="n">
        <f aca="false">ROUND(KAL_FORM*MULT_FORM,0)</f>
        <v>79500</v>
      </c>
      <c r="D10" s="30" t="n">
        <f aca="false">C10*FX_RATE</f>
        <v>696897000</v>
      </c>
      <c r="E10" s="28" t="s">
        <v>122</v>
      </c>
    </row>
    <row r="11" customFormat="false" ht="15" hidden="false" customHeight="false" outlineLevel="0" collapsed="false">
      <c r="A11" s="15" t="s">
        <v>78</v>
      </c>
      <c r="B11" s="4" t="s">
        <v>123</v>
      </c>
      <c r="C11" s="25" t="n">
        <f aca="false">ROUND(KAL_COORD*MULT_COORD,0)</f>
        <v>137800</v>
      </c>
      <c r="D11" s="26" t="n">
        <f aca="false">C11*FX_RATE</f>
        <v>1207954800</v>
      </c>
      <c r="E11" s="4" t="s">
        <v>124</v>
      </c>
    </row>
    <row r="12" customFormat="false" ht="15" hidden="false" customHeight="false" outlineLevel="0" collapsed="false">
      <c r="A12" s="27" t="s">
        <v>85</v>
      </c>
      <c r="B12" s="28" t="s">
        <v>125</v>
      </c>
      <c r="C12" s="29" t="n">
        <f aca="false">ROUND(KAL_AJUST*SCALE,0)</f>
        <v>24095</v>
      </c>
      <c r="D12" s="30" t="n">
        <f aca="false">C12*FX_RATE</f>
        <v>211216770</v>
      </c>
      <c r="E12" s="28" t="s">
        <v>126</v>
      </c>
    </row>
    <row r="14" customFormat="false" ht="15" hidden="false" customHeight="false" outlineLevel="0" collapsed="false">
      <c r="A14" s="14" t="s">
        <v>127</v>
      </c>
      <c r="B14" s="6"/>
      <c r="C14" s="6"/>
      <c r="D14" s="6"/>
      <c r="E14" s="6"/>
    </row>
    <row r="15" customFormat="false" ht="15" hidden="false" customHeight="false" outlineLevel="0" collapsed="false">
      <c r="A15" s="31" t="s">
        <v>128</v>
      </c>
      <c r="B15" s="32" t="s">
        <v>129</v>
      </c>
      <c r="C15" s="33" t="n">
        <f aca="false">ROUND(KAL_ENQ*SCALE*(MULT_MO-1),0)</f>
        <v>933138</v>
      </c>
      <c r="D15" s="34" t="n">
        <f aca="false">C15*FX_RATE</f>
        <v>8179887708</v>
      </c>
      <c r="E15" s="32" t="s">
        <v>130</v>
      </c>
    </row>
    <row r="16" customFormat="false" ht="15" hidden="false" customHeight="false" outlineLevel="0" collapsed="false">
      <c r="A16" s="31" t="s">
        <v>131</v>
      </c>
      <c r="B16" s="32" t="s">
        <v>132</v>
      </c>
      <c r="C16" s="33" t="n">
        <f aca="false">ROUND(KAL_CARTO*SCALE*PART_EQUIP_CARTO*(MULT_EQUIP-1),0)</f>
        <v>174799</v>
      </c>
      <c r="D16" s="34" t="n">
        <f aca="false">C16*FX_RATE</f>
        <v>1532288034</v>
      </c>
      <c r="E16" s="32" t="s">
        <v>133</v>
      </c>
    </row>
    <row r="18" customFormat="false" ht="15" hidden="false" customHeight="false" outlineLevel="0" collapsed="false">
      <c r="A18" s="35" t="s">
        <v>134</v>
      </c>
      <c r="B18" s="36"/>
      <c r="C18" s="37" t="n">
        <f aca="false">SUM(C5:C12)+SUM(C15:C16)</f>
        <v>3014033</v>
      </c>
      <c r="D18" s="38" t="n">
        <f aca="false">SUM(D5:D12)+SUM(D15:D16)</f>
        <v>26421013278</v>
      </c>
      <c r="E18" s="36"/>
    </row>
    <row r="19" customFormat="false" ht="15" hidden="false" customHeight="false" outlineLevel="0" collapsed="false">
      <c r="A19" s="39" t="s">
        <v>135</v>
      </c>
      <c r="B19" s="40" t="s">
        <v>136</v>
      </c>
      <c r="C19" s="25" t="n">
        <f aca="false">ROUND(C18*PROVISION_RATE,0)</f>
        <v>542526</v>
      </c>
      <c r="D19" s="26" t="n">
        <f aca="false">C19*FX_RATE</f>
        <v>4755782916</v>
      </c>
      <c r="E19" s="40" t="s">
        <v>137</v>
      </c>
    </row>
    <row r="20" customFormat="false" ht="15" hidden="false" customHeight="false" outlineLevel="0" collapsed="false">
      <c r="A20" s="35" t="s">
        <v>138</v>
      </c>
      <c r="B20" s="36"/>
      <c r="C20" s="37" t="n">
        <f aca="false">C18+C19</f>
        <v>3556559</v>
      </c>
      <c r="D20" s="38" t="n">
        <f aca="false">D18+D19</f>
        <v>31176796194</v>
      </c>
      <c r="E20" s="36"/>
    </row>
    <row r="22" customFormat="false" ht="15" hidden="false" customHeight="false" outlineLevel="0" collapsed="false">
      <c r="A22" s="14" t="s">
        <v>139</v>
      </c>
      <c r="B22" s="6"/>
      <c r="C22" s="6"/>
      <c r="D22" s="6"/>
      <c r="E22" s="6"/>
    </row>
    <row r="23" customFormat="false" ht="15" hidden="false" customHeight="false" outlineLevel="0" collapsed="false">
      <c r="A23" s="31" t="s">
        <v>140</v>
      </c>
      <c r="B23" s="32" t="s">
        <v>141</v>
      </c>
      <c r="C23" s="33" t="n">
        <f aca="false">ROUND((RH!D33+C11)/DUREE_PROJET_MOIS*MOIS_RETARD,0)</f>
        <v>145217</v>
      </c>
      <c r="D23" s="34" t="n">
        <f aca="false">C23*FX_RATE</f>
        <v>1272972222</v>
      </c>
      <c r="E23" s="32" t="s">
        <v>142</v>
      </c>
    </row>
    <row r="25" customFormat="false" ht="15" hidden="false" customHeight="false" outlineLevel="0" collapsed="false">
      <c r="A25" s="35" t="s">
        <v>143</v>
      </c>
      <c r="B25" s="36"/>
      <c r="C25" s="37" t="n">
        <f aca="false">C20+C23</f>
        <v>3701776</v>
      </c>
      <c r="D25" s="38" t="n">
        <f aca="false">D20+D23</f>
        <v>32449768416</v>
      </c>
      <c r="E25" s="36"/>
    </row>
    <row r="27" customFormat="false" ht="15" hidden="false" customHeight="false" outlineLevel="0" collapsed="false">
      <c r="A27" s="4" t="s">
        <v>144</v>
      </c>
    </row>
    <row r="28" customFormat="false" ht="15" hidden="false" customHeight="false" outlineLevel="0" collapsed="false">
      <c r="A28" s="4" t="s">
        <v>145</v>
      </c>
    </row>
    <row r="29" customFormat="false" ht="15" hidden="false" customHeight="false" outlineLevel="0" collapsed="false">
      <c r="A29" s="4" t="s">
        <v>146</v>
      </c>
    </row>
    <row r="30" customFormat="false" ht="15" hidden="false" customHeight="false" outlineLevel="0" collapsed="false">
      <c r="A30" s="4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5" min="5" style="1" width="40"/>
    <col collapsed="false" customWidth="true" hidden="false" outlineLevel="0" max="6" min="6" style="1" width="12"/>
  </cols>
  <sheetData>
    <row r="1" customFormat="false" ht="17.25" hidden="false" customHeight="true" outlineLevel="0" collapsed="false">
      <c r="A1" s="13" t="s">
        <v>148</v>
      </c>
    </row>
    <row r="3" customFormat="false" ht="15" hidden="false" customHeight="true" outlineLevel="0" collapsed="false">
      <c r="A3" s="14" t="s">
        <v>149</v>
      </c>
      <c r="B3" s="6"/>
      <c r="C3" s="6"/>
      <c r="D3" s="6"/>
      <c r="E3" s="6"/>
    </row>
    <row r="4" customFormat="false" ht="39" hidden="false" customHeight="true" outlineLevel="0" collapsed="false">
      <c r="A4" s="24" t="s">
        <v>150</v>
      </c>
      <c r="B4" s="24" t="s">
        <v>151</v>
      </c>
      <c r="C4" s="24" t="s">
        <v>152</v>
      </c>
      <c r="D4" s="24" t="s">
        <v>153</v>
      </c>
      <c r="E4" s="24" t="s">
        <v>154</v>
      </c>
    </row>
    <row r="5" customFormat="false" ht="15" hidden="false" customHeight="true" outlineLevel="0" collapsed="false">
      <c r="A5" s="15" t="s">
        <v>155</v>
      </c>
      <c r="B5" s="39" t="n">
        <v>1</v>
      </c>
      <c r="C5" s="19" t="n">
        <v>1</v>
      </c>
      <c r="D5" s="41" t="n">
        <f aca="false">ROUND(B5*C5,0)</f>
        <v>1</v>
      </c>
      <c r="E5" s="4" t="s">
        <v>156</v>
      </c>
    </row>
    <row r="6" customFormat="false" ht="15" hidden="false" customHeight="true" outlineLevel="0" collapsed="false">
      <c r="A6" s="15" t="s">
        <v>157</v>
      </c>
      <c r="B6" s="39" t="n">
        <v>1</v>
      </c>
      <c r="C6" s="19" t="n">
        <v>1</v>
      </c>
      <c r="D6" s="41" t="n">
        <f aca="false">ROUND(B6*C6,0)</f>
        <v>1</v>
      </c>
      <c r="E6" s="4" t="s">
        <v>158</v>
      </c>
    </row>
    <row r="7" customFormat="false" ht="15" hidden="false" customHeight="true" outlineLevel="0" collapsed="false">
      <c r="A7" s="15" t="s">
        <v>159</v>
      </c>
      <c r="B7" s="39" t="n">
        <v>4</v>
      </c>
      <c r="C7" s="19" t="n">
        <v>1.5</v>
      </c>
      <c r="D7" s="41" t="n">
        <f aca="false">ROUND(B7*C7,0)</f>
        <v>6</v>
      </c>
      <c r="E7" s="4" t="s">
        <v>160</v>
      </c>
    </row>
    <row r="8" customFormat="false" ht="15" hidden="false" customHeight="true" outlineLevel="0" collapsed="false">
      <c r="A8" s="15" t="s">
        <v>161</v>
      </c>
      <c r="B8" s="39" t="n">
        <v>2</v>
      </c>
      <c r="C8" s="19" t="n">
        <v>0.5</v>
      </c>
      <c r="D8" s="41" t="n">
        <f aca="false">ROUND(B8*C8,0)</f>
        <v>1</v>
      </c>
      <c r="E8" s="4" t="s">
        <v>162</v>
      </c>
    </row>
    <row r="9" customFormat="false" ht="15" hidden="false" customHeight="true" outlineLevel="0" collapsed="false">
      <c r="A9" s="15" t="s">
        <v>163</v>
      </c>
      <c r="B9" s="39" t="n">
        <v>3</v>
      </c>
      <c r="C9" s="19" t="n">
        <v>1.6667</v>
      </c>
      <c r="D9" s="41" t="n">
        <f aca="false">ROUND(B9*C9*MULT_MO,0)</f>
        <v>15</v>
      </c>
      <c r="E9" s="4" t="s">
        <v>164</v>
      </c>
    </row>
    <row r="11" customFormat="false" ht="15" hidden="false" customHeight="true" outlineLevel="0" collapsed="false">
      <c r="A11" s="14" t="s">
        <v>165</v>
      </c>
      <c r="B11" s="6"/>
      <c r="C11" s="6"/>
      <c r="D11" s="6"/>
      <c r="E11" s="6"/>
    </row>
    <row r="12" customFormat="false" ht="39" hidden="false" customHeight="true" outlineLevel="0" collapsed="false">
      <c r="A12" s="24" t="s">
        <v>150</v>
      </c>
      <c r="B12" s="24" t="s">
        <v>151</v>
      </c>
      <c r="C12" s="24" t="s">
        <v>152</v>
      </c>
      <c r="D12" s="24" t="s">
        <v>153</v>
      </c>
      <c r="E12" s="24" t="s">
        <v>154</v>
      </c>
    </row>
    <row r="13" customFormat="false" ht="15" hidden="false" customHeight="true" outlineLevel="0" collapsed="false">
      <c r="A13" s="15" t="s">
        <v>166</v>
      </c>
      <c r="B13" s="39" t="n">
        <v>14</v>
      </c>
      <c r="C13" s="19" t="n">
        <v>2.2857</v>
      </c>
      <c r="D13" s="41" t="n">
        <f aca="false">ROUND(B13*C13*MULT_MO,0)</f>
        <v>96</v>
      </c>
      <c r="E13" s="4" t="s">
        <v>167</v>
      </c>
    </row>
    <row r="14" customFormat="false" ht="15" hidden="false" customHeight="true" outlineLevel="0" collapsed="false">
      <c r="A14" s="15" t="s">
        <v>168</v>
      </c>
      <c r="B14" s="39" t="n">
        <v>6</v>
      </c>
      <c r="C14" s="19" t="n">
        <v>1.8333</v>
      </c>
      <c r="D14" s="41" t="n">
        <f aca="false">ROUND(B14*C14*MULT_MO,0)</f>
        <v>33</v>
      </c>
      <c r="E14" s="4" t="s">
        <v>169</v>
      </c>
    </row>
    <row r="15" customFormat="false" ht="15" hidden="false" customHeight="true" outlineLevel="0" collapsed="false">
      <c r="A15" s="15" t="s">
        <v>170</v>
      </c>
      <c r="B15" s="39" t="n">
        <v>4</v>
      </c>
      <c r="C15" s="19" t="n">
        <v>1.75</v>
      </c>
      <c r="D15" s="41" t="n">
        <f aca="false">ROUND(B15*C15*MULT_MO,0)</f>
        <v>21</v>
      </c>
      <c r="E15" s="4" t="s">
        <v>171</v>
      </c>
    </row>
    <row r="16" customFormat="false" ht="15" hidden="false" customHeight="true" outlineLevel="0" collapsed="false">
      <c r="A16" s="4" t="s">
        <v>172</v>
      </c>
    </row>
    <row r="18" customFormat="false" ht="15" hidden="false" customHeight="true" outlineLevel="0" collapsed="false">
      <c r="A18" s="14" t="s">
        <v>173</v>
      </c>
      <c r="B18" s="6"/>
      <c r="C18" s="6"/>
      <c r="D18" s="6"/>
      <c r="E18" s="6"/>
    </row>
    <row r="19" customFormat="false" ht="15" hidden="false" customHeight="true" outlineLevel="0" collapsed="false">
      <c r="A19" s="24" t="s">
        <v>150</v>
      </c>
      <c r="B19" s="24" t="s">
        <v>174</v>
      </c>
      <c r="C19" s="24"/>
      <c r="D19" s="24"/>
      <c r="E19" s="24" t="s">
        <v>175</v>
      </c>
    </row>
    <row r="20" customFormat="false" ht="15" hidden="false" customHeight="true" outlineLevel="0" collapsed="false">
      <c r="A20" s="15" t="s">
        <v>176</v>
      </c>
      <c r="B20" s="16" t="n">
        <v>1</v>
      </c>
      <c r="E20" s="4" t="s">
        <v>177</v>
      </c>
    </row>
    <row r="21" customFormat="false" ht="15" hidden="false" customHeight="true" outlineLevel="0" collapsed="false">
      <c r="A21" s="15" t="s">
        <v>178</v>
      </c>
      <c r="B21" s="16" t="n">
        <v>1</v>
      </c>
      <c r="E21" s="4" t="s">
        <v>179</v>
      </c>
    </row>
    <row r="22" customFormat="false" ht="15" hidden="false" customHeight="true" outlineLevel="0" collapsed="false">
      <c r="A22" s="15" t="s">
        <v>180</v>
      </c>
      <c r="B22" s="16" t="n">
        <v>2</v>
      </c>
      <c r="E22" s="4" t="s">
        <v>181</v>
      </c>
    </row>
    <row r="23" customFormat="false" ht="15" hidden="false" customHeight="true" outlineLevel="0" collapsed="false">
      <c r="A23" s="15" t="s">
        <v>182</v>
      </c>
      <c r="B23" s="16" t="n">
        <v>2</v>
      </c>
      <c r="E23" s="4" t="s">
        <v>183</v>
      </c>
    </row>
    <row r="24" customFormat="false" ht="15" hidden="false" customHeight="true" outlineLevel="0" collapsed="false">
      <c r="A24" s="4" t="s">
        <v>184</v>
      </c>
    </row>
    <row r="26" customFormat="false" ht="15" hidden="false" customHeight="true" outlineLevel="0" collapsed="false">
      <c r="A26" s="14" t="s">
        <v>185</v>
      </c>
      <c r="B26" s="6"/>
      <c r="C26" s="6"/>
      <c r="D26" s="6"/>
      <c r="E26" s="6"/>
    </row>
    <row r="27" customFormat="false" ht="15" hidden="false" customHeight="true" outlineLevel="0" collapsed="false">
      <c r="A27" s="20" t="s">
        <v>18</v>
      </c>
      <c r="D27" s="42" t="n">
        <f aca="false">SUM(D5:D9)+SUM(D13:D15)+SUM(B20:B23)</f>
        <v>180</v>
      </c>
    </row>
    <row r="28" customFormat="false" ht="15" hidden="false" customHeight="true" outlineLevel="0" collapsed="false">
      <c r="A28" s="14" t="s">
        <v>186</v>
      </c>
      <c r="B28" s="6"/>
      <c r="C28" s="6"/>
      <c r="D28" s="6"/>
      <c r="E28" s="6"/>
    </row>
    <row r="29" customFormat="false" ht="15" hidden="false" customHeight="true" outlineLevel="0" collapsed="false">
      <c r="A29" s="15" t="s">
        <v>187</v>
      </c>
      <c r="B29" s="43" t="n">
        <v>1600000000</v>
      </c>
      <c r="E29" s="4" t="s">
        <v>188</v>
      </c>
    </row>
    <row r="30" customFormat="false" ht="15" hidden="false" customHeight="true" outlineLevel="0" collapsed="false">
      <c r="A30" s="15" t="s">
        <v>189</v>
      </c>
      <c r="B30" s="16" t="n">
        <v>39</v>
      </c>
    </row>
    <row r="32" customFormat="false" ht="15" hidden="false" customHeight="true" outlineLevel="0" collapsed="false">
      <c r="A32" s="20" t="s">
        <v>190</v>
      </c>
      <c r="D32" s="38" t="n">
        <f aca="false">ROUND(B29/B30*D27,0)</f>
        <v>7384615385</v>
      </c>
    </row>
    <row r="33" customFormat="false" ht="15" hidden="false" customHeight="true" outlineLevel="0" collapsed="false">
      <c r="A33" s="20" t="s">
        <v>191</v>
      </c>
      <c r="D33" s="37" t="n">
        <f aca="false">ROUND(D32/FX_RATE,0)</f>
        <v>842416</v>
      </c>
    </row>
    <row r="35" customFormat="false" ht="15" hidden="false" customHeight="true" outlineLevel="0" collapsed="false">
      <c r="A35" s="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6"/>
    <col collapsed="false" customWidth="true" hidden="false" outlineLevel="0" max="4" min="4" style="1" width="18"/>
    <col collapsed="false" customWidth="true" hidden="false" outlineLevel="0" max="5" min="5" style="1" width="40"/>
  </cols>
  <sheetData>
    <row r="1" customFormat="false" ht="17.25" hidden="false" customHeight="true" outlineLevel="0" collapsed="false">
      <c r="A1" s="13" t="s">
        <v>193</v>
      </c>
    </row>
    <row r="3" customFormat="false" ht="15" hidden="false" customHeight="true" outlineLevel="0" collapsed="false">
      <c r="A3" s="14" t="s">
        <v>194</v>
      </c>
      <c r="B3" s="6"/>
      <c r="C3" s="6"/>
      <c r="D3" s="6"/>
      <c r="E3" s="6"/>
    </row>
    <row r="4" customFormat="false" ht="26.25" hidden="false" customHeight="true" outlineLevel="0" collapsed="false">
      <c r="A4" s="24" t="s">
        <v>195</v>
      </c>
      <c r="B4" s="24" t="s">
        <v>196</v>
      </c>
      <c r="C4" s="24" t="s">
        <v>197</v>
      </c>
      <c r="D4" s="24"/>
      <c r="E4" s="24" t="s">
        <v>198</v>
      </c>
    </row>
    <row r="5" customFormat="false" ht="15" hidden="false" customHeight="true" outlineLevel="0" collapsed="false">
      <c r="A5" s="15" t="s">
        <v>199</v>
      </c>
      <c r="B5" s="4" t="s">
        <v>200</v>
      </c>
      <c r="C5" s="41" t="n">
        <f aca="false">(ROUND(RH!D13/2,0)+RH!D9)*MULT_EQUIP</f>
        <v>126</v>
      </c>
      <c r="E5" s="4" t="s">
        <v>201</v>
      </c>
    </row>
    <row r="6" customFormat="false" ht="15" hidden="false" customHeight="true" outlineLevel="0" collapsed="false">
      <c r="A6" s="15" t="s">
        <v>202</v>
      </c>
      <c r="B6" s="4" t="s">
        <v>203</v>
      </c>
      <c r="C6" s="41" t="n">
        <f aca="false">RH!D13*MULT_EQUIP</f>
        <v>192</v>
      </c>
      <c r="E6" s="4" t="s">
        <v>204</v>
      </c>
    </row>
    <row r="7" customFormat="false" ht="15" hidden="false" customHeight="true" outlineLevel="0" collapsed="false">
      <c r="A7" s="15" t="s">
        <v>205</v>
      </c>
      <c r="B7" s="4" t="s">
        <v>206</v>
      </c>
      <c r="C7" s="41" t="n">
        <f aca="false">(RH!D7+RH!D8+RH!D5+RH!D6)*MULT_EQUIP</f>
        <v>18</v>
      </c>
      <c r="E7" s="4" t="s">
        <v>207</v>
      </c>
    </row>
    <row r="8" customFormat="false" ht="15" hidden="false" customHeight="true" outlineLevel="0" collapsed="false">
      <c r="A8" s="15" t="s">
        <v>208</v>
      </c>
      <c r="C8" s="16" t="n">
        <v>1</v>
      </c>
      <c r="E8" s="4" t="s">
        <v>209</v>
      </c>
    </row>
    <row r="9" customFormat="false" ht="15" hidden="false" customHeight="true" outlineLevel="0" collapsed="false">
      <c r="A9" s="15" t="s">
        <v>210</v>
      </c>
      <c r="C9" s="16" t="n">
        <f aca="false">5*MULT_EQUIP</f>
        <v>10</v>
      </c>
      <c r="E9" s="4" t="s">
        <v>211</v>
      </c>
    </row>
    <row r="10" customFormat="false" ht="15" hidden="false" customHeight="true" outlineLevel="0" collapsed="false">
      <c r="A10" s="15" t="s">
        <v>212</v>
      </c>
      <c r="B10" s="4" t="s">
        <v>213</v>
      </c>
      <c r="C10" s="41" t="n">
        <f aca="false">PLAQUES_BAT</f>
        <v>42495</v>
      </c>
      <c r="E10" s="4" t="s">
        <v>214</v>
      </c>
    </row>
    <row r="11" customFormat="false" ht="15" hidden="false" customHeight="true" outlineLevel="0" collapsed="false">
      <c r="A11" s="15" t="s">
        <v>215</v>
      </c>
      <c r="B11" s="4" t="s">
        <v>216</v>
      </c>
      <c r="C11" s="41" t="n">
        <f aca="false">POTEAUX</f>
        <v>2890</v>
      </c>
      <c r="E11" s="4" t="s">
        <v>217</v>
      </c>
    </row>
    <row r="12" customFormat="false" ht="15" hidden="false" customHeight="true" outlineLevel="0" collapsed="false">
      <c r="A12" s="15" t="s">
        <v>218</v>
      </c>
      <c r="B12" s="4" t="s">
        <v>216</v>
      </c>
      <c r="C12" s="41" t="n">
        <f aca="false">POTEAUX</f>
        <v>2890</v>
      </c>
      <c r="E12" s="4" t="s">
        <v>219</v>
      </c>
    </row>
    <row r="13" customFormat="false" ht="15" hidden="false" customHeight="true" outlineLevel="0" collapsed="false">
      <c r="A13" s="15" t="s">
        <v>220</v>
      </c>
      <c r="B13" s="4" t="s">
        <v>216</v>
      </c>
      <c r="C13" s="41" t="n">
        <f aca="false">POTEAUX</f>
        <v>2890</v>
      </c>
      <c r="E13" s="4" t="s">
        <v>221</v>
      </c>
    </row>
    <row r="14" customFormat="false" ht="15" hidden="false" customHeight="true" outlineLevel="0" collapsed="false">
      <c r="A14" s="15" t="s">
        <v>222</v>
      </c>
      <c r="B14" s="4" t="s">
        <v>216</v>
      </c>
      <c r="C14" s="41" t="n">
        <f aca="false">POTEAUX</f>
        <v>2890</v>
      </c>
      <c r="E14" s="4" t="s">
        <v>223</v>
      </c>
    </row>
    <row r="16" customFormat="false" ht="15" hidden="false" customHeight="true" outlineLevel="0" collapsed="false">
      <c r="A16" s="14" t="s">
        <v>224</v>
      </c>
      <c r="B16" s="6"/>
      <c r="C16" s="6"/>
      <c r="D16" s="6"/>
      <c r="E16" s="6"/>
    </row>
    <row r="17" customFormat="false" ht="26.25" hidden="false" customHeight="true" outlineLevel="0" collapsed="false">
      <c r="A17" s="24" t="s">
        <v>150</v>
      </c>
      <c r="B17" s="24" t="s">
        <v>225</v>
      </c>
      <c r="C17" s="24"/>
      <c r="D17" s="24"/>
      <c r="E17" s="24" t="s">
        <v>226</v>
      </c>
    </row>
    <row r="18" customFormat="false" ht="15" hidden="false" customHeight="true" outlineLevel="0" collapsed="false">
      <c r="A18" s="15" t="s">
        <v>227</v>
      </c>
      <c r="B18" s="43" t="n">
        <v>575000</v>
      </c>
      <c r="E18" s="4" t="s">
        <v>228</v>
      </c>
    </row>
    <row r="19" customFormat="false" ht="15" hidden="false" customHeight="true" outlineLevel="0" collapsed="false">
      <c r="A19" s="15" t="s">
        <v>229</v>
      </c>
      <c r="B19" s="43" t="n">
        <v>30000</v>
      </c>
      <c r="E19" s="4" t="s">
        <v>230</v>
      </c>
    </row>
    <row r="20" customFormat="false" ht="15" hidden="false" customHeight="true" outlineLevel="0" collapsed="false">
      <c r="A20" s="15" t="s">
        <v>220</v>
      </c>
      <c r="B20" s="43" t="n">
        <v>40000</v>
      </c>
      <c r="E20" s="4" t="s">
        <v>231</v>
      </c>
    </row>
    <row r="21" customFormat="false" ht="15" hidden="false" customHeight="true" outlineLevel="0" collapsed="false">
      <c r="A21" s="15" t="s">
        <v>222</v>
      </c>
      <c r="B21" s="43" t="n">
        <v>35000</v>
      </c>
      <c r="E21" s="4" t="s">
        <v>232</v>
      </c>
    </row>
    <row r="22" customFormat="false" ht="15" hidden="false" customHeight="true" outlineLevel="0" collapsed="false">
      <c r="A22" s="20" t="s">
        <v>233</v>
      </c>
      <c r="B22" s="38" t="n">
        <f aca="false">SUM(B18:B21)</f>
        <v>680000</v>
      </c>
    </row>
    <row r="23" customFormat="false" ht="15" hidden="false" customHeight="true" outlineLevel="0" collapsed="false">
      <c r="A23" s="20" t="s">
        <v>234</v>
      </c>
      <c r="B23" s="38" t="n">
        <f aca="false">B22*POTEAUX</f>
        <v>1965200000</v>
      </c>
    </row>
    <row r="24" customFormat="false" ht="15" hidden="false" customHeight="true" outlineLevel="0" collapsed="false">
      <c r="A24" s="20" t="s">
        <v>235</v>
      </c>
      <c r="B24" s="37" t="n">
        <f aca="false">ROUND(B23/FX_RATE,0)</f>
        <v>224184</v>
      </c>
    </row>
    <row r="26" customFormat="false" ht="15" hidden="false" customHeight="true" outlineLevel="0" collapsed="false">
      <c r="A26" s="14" t="s">
        <v>236</v>
      </c>
      <c r="B26" s="6"/>
      <c r="C26" s="6"/>
      <c r="D26" s="6"/>
      <c r="E26" s="6"/>
    </row>
    <row r="27" customFormat="false" ht="39" hidden="false" customHeight="true" outlineLevel="0" collapsed="false">
      <c r="A27" s="24" t="s">
        <v>237</v>
      </c>
      <c r="B27" s="24" t="s">
        <v>238</v>
      </c>
      <c r="C27" s="24" t="s">
        <v>239</v>
      </c>
      <c r="D27" s="24" t="s">
        <v>240</v>
      </c>
      <c r="E27" s="24" t="s">
        <v>241</v>
      </c>
    </row>
    <row r="28" customFormat="false" ht="15" hidden="false" customHeight="true" outlineLevel="0" collapsed="false">
      <c r="A28" s="15" t="s">
        <v>242</v>
      </c>
      <c r="B28" s="44" t="n">
        <v>253000</v>
      </c>
      <c r="C28" s="45" t="n">
        <f aca="false">ROUND(B28*SCALE,0)</f>
        <v>554187</v>
      </c>
      <c r="D28" s="46" t="n">
        <f aca="false">C28*FX_RATE</f>
        <v>4858003242</v>
      </c>
      <c r="E28" s="4" t="s">
        <v>243</v>
      </c>
    </row>
    <row r="29" customFormat="false" ht="15" hidden="false" customHeight="true" outlineLevel="0" collapsed="false">
      <c r="A29" s="15" t="s">
        <v>244</v>
      </c>
      <c r="B29" s="44" t="n">
        <v>197000</v>
      </c>
      <c r="C29" s="45" t="n">
        <f aca="false">ROUND(B29*SCALE,0)</f>
        <v>431521</v>
      </c>
      <c r="D29" s="46" t="n">
        <f aca="false">C29*FX_RATE</f>
        <v>3782713086</v>
      </c>
      <c r="E29" s="4" t="s">
        <v>245</v>
      </c>
    </row>
    <row r="30" customFormat="false" ht="15" hidden="false" customHeight="true" outlineLevel="0" collapsed="false">
      <c r="A30" s="15" t="s">
        <v>246</v>
      </c>
      <c r="B30" s="44" t="n">
        <v>130000</v>
      </c>
      <c r="C30" s="45" t="n">
        <f aca="false">ROUND(B30*SCALE,0)</f>
        <v>284760</v>
      </c>
      <c r="D30" s="46" t="n">
        <f aca="false">C30*FX_RATE</f>
        <v>2496206160</v>
      </c>
      <c r="E30" s="4" t="s">
        <v>247</v>
      </c>
    </row>
    <row r="31" customFormat="false" ht="15" hidden="false" customHeight="true" outlineLevel="0" collapsed="false">
      <c r="A31" s="4" t="s">
        <v>248</v>
      </c>
    </row>
    <row r="33" customFormat="false" ht="15" hidden="false" customHeight="true" outlineLevel="0" collapsed="false">
      <c r="A33" s="4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2026-07-23T10:47:04Z</dcterms:created>
  <dc:creator>openpyxl</dc:creator>
  <dc:description/>
  <dc:language>en-US</dc:language>
  <cp:lastModifiedBy/>
  <dcterms:modified xsi:type="dcterms:W3CDTF">2026-07-23T12:32:33Z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