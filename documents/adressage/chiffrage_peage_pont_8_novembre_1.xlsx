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3ee4826fda64bfa/Desktop/MERIDIEN AMENAGEMENT ^0 INGENIERIES/PONT 8 NOVEMBRE/"/>
    </mc:Choice>
  </mc:AlternateContent>
  <xr:revisionPtr revIDLastSave="0" documentId="8_{9EB579A5-7EF7-4339-BDA2-DC2B0CC791CE}" xr6:coauthVersionLast="47" xr6:coauthVersionMax="47" xr10:uidLastSave="{00000000-0000-0000-0000-000000000000}"/>
  <bookViews>
    <workbookView xWindow="28680" yWindow="-7305" windowWidth="29040" windowHeight="15720" tabRatio="500" activeTab="4" xr2:uid="{00000000-000D-0000-FFFF-FFFF00000000}"/>
  </bookViews>
  <sheets>
    <sheet name="Synthèse" sheetId="1" r:id="rId1"/>
    <sheet name="MO_CAPEX" sheetId="2" r:id="rId2"/>
    <sheet name="MO_Exploitation" sheetId="3" r:id="rId3"/>
    <sheet name="CAPEX" sheetId="4" r:id="rId4"/>
    <sheet name="OPEX" sheetId="5" r:id="rId5"/>
    <sheet name="Planning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6" l="1"/>
  <c r="D5" i="6" s="1"/>
  <c r="E5" i="6" s="1"/>
  <c r="D6" i="6" s="1"/>
  <c r="E6" i="6" s="1"/>
  <c r="D7" i="6" s="1"/>
  <c r="E7" i="6" s="1"/>
  <c r="E7" i="5"/>
  <c r="E6" i="5"/>
  <c r="D6" i="5"/>
  <c r="F6" i="5" s="1"/>
  <c r="E5" i="5"/>
  <c r="D5" i="5"/>
  <c r="F5" i="5" s="1"/>
  <c r="E4" i="5"/>
  <c r="D4" i="5"/>
  <c r="F4" i="5" s="1"/>
  <c r="E10" i="4"/>
  <c r="B10" i="4"/>
  <c r="D10" i="4" s="1"/>
  <c r="F10" i="4" s="1"/>
  <c r="E9" i="4"/>
  <c r="D9" i="4"/>
  <c r="F9" i="4" s="1"/>
  <c r="E8" i="4"/>
  <c r="B8" i="4"/>
  <c r="D8" i="4" s="1"/>
  <c r="F8" i="4" s="1"/>
  <c r="E7" i="4"/>
  <c r="B7" i="4"/>
  <c r="D7" i="4" s="1"/>
  <c r="F7" i="4" s="1"/>
  <c r="F6" i="4"/>
  <c r="E6" i="4"/>
  <c r="D6" i="4"/>
  <c r="E5" i="4"/>
  <c r="B5" i="4"/>
  <c r="D5" i="4" s="1"/>
  <c r="F5" i="4" s="1"/>
  <c r="E4" i="4"/>
  <c r="B4" i="4"/>
  <c r="D4" i="4" s="1"/>
  <c r="E8" i="3"/>
  <c r="F7" i="3"/>
  <c r="E7" i="3"/>
  <c r="E6" i="3"/>
  <c r="F6" i="3" s="1"/>
  <c r="E5" i="3"/>
  <c r="F5" i="3" s="1"/>
  <c r="E4" i="3"/>
  <c r="F4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B10" i="1"/>
  <c r="B9" i="1"/>
  <c r="D8" i="6" l="1"/>
  <c r="E10" i="6"/>
  <c r="B8" i="1" s="1"/>
  <c r="F4" i="4"/>
  <c r="F11" i="4" s="1"/>
  <c r="D15" i="4"/>
  <c r="B14" i="1" s="1"/>
  <c r="E9" i="3"/>
  <c r="F8" i="3"/>
  <c r="F9" i="3" s="1"/>
  <c r="B7" i="5" s="1"/>
  <c r="D7" i="5" s="1"/>
  <c r="F12" i="4" l="1"/>
  <c r="F13" i="4" s="1"/>
  <c r="B13" i="1" s="1"/>
  <c r="B21" i="1" s="1"/>
  <c r="F7" i="5"/>
  <c r="F8" i="5" s="1"/>
  <c r="B15" i="1" s="1"/>
  <c r="B20" i="1" s="1"/>
  <c r="D9" i="5"/>
  <c r="B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000-000001000000}">
      <text>
        <r>
          <rPr>
            <sz val="10"/>
            <rFont val="Arial"/>
            <family val="2"/>
          </rPr>
          <t>Hypothèse demandée par le porteur de projet : chaque volet de coût (CAPEX et OPEX) est multiplié par ce facteur pour se prémunir contre les dépenses imprévues. Modifier cette cellule recalcule automatiquement tout le chiffrage.</t>
        </r>
      </text>
    </comment>
    <comment ref="B19" authorId="0" shapeId="0" xr:uid="{00000000-0006-0000-0000-000002000000}">
      <text>
        <r>
          <rPr>
            <sz val="10"/>
            <rFont val="Arial"/>
            <family val="2"/>
          </rPr>
          <t>Source : note conceptuelle, section 12.3 (scénario central ~9,6 milliards GNF/an, ~8 750 GNF/USD)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300-000001000000}">
      <text>
        <r>
          <rPr>
            <sz val="10"/>
            <rFont val="Arial"/>
            <family val="2"/>
          </rPr>
          <t>Déplacements, logistique enquête, rapports</t>
        </r>
      </text>
    </comment>
    <comment ref="C5" authorId="0" shapeId="0" xr:uid="{00000000-0006-0000-0300-000002000000}">
      <text>
        <r>
          <rPr>
            <sz val="10"/>
            <rFont val="Arial"/>
            <family val="2"/>
          </rPr>
          <t>Structures, fondations, câblage, alimentation électrique (2-3 portiques)</t>
        </r>
      </text>
    </comment>
    <comment ref="C6" authorId="0" shapeId="0" xr:uid="{00000000-0006-0000-0300-000003000000}">
      <text>
        <r>
          <rPr>
            <sz val="10"/>
            <rFont val="Arial"/>
            <family val="2"/>
          </rPr>
          <t>Caméras ANPR/LPR, lecteurs RFID, capteurs de comptage</t>
        </r>
      </text>
    </comment>
    <comment ref="C7" authorId="0" shapeId="0" xr:uid="{00000000-0006-0000-0300-000004000000}">
      <text>
        <r>
          <rPr>
            <sz val="10"/>
            <rFont val="Arial"/>
            <family val="2"/>
          </rPr>
          <t>Licences, infrastructure serveur</t>
        </r>
      </text>
    </comment>
    <comment ref="C8" authorId="0" shapeId="0" xr:uid="{00000000-0006-0000-0300-000005000000}">
      <text>
        <r>
          <rPr>
            <sz val="10"/>
            <rFont val="Arial"/>
            <family val="2"/>
          </rPr>
          <t>Frais API, tests passerelle Orange Money / Mobile Money</t>
        </r>
      </text>
    </comment>
    <comment ref="C9" authorId="0" shapeId="0" xr:uid="{00000000-0006-0000-0300-000006000000}">
      <text>
        <r>
          <rPr>
            <sz val="10"/>
            <rFont val="Arial"/>
            <family val="2"/>
          </rPr>
          <t>Vidéosurveillance, tableau de bord, poste de contrôle</t>
        </r>
      </text>
    </comment>
    <comment ref="C10" authorId="0" shapeId="0" xr:uid="{00000000-0006-0000-0300-000007000000}">
      <text>
        <r>
          <rPr>
            <sz val="10"/>
            <rFont val="Arial"/>
            <family val="2"/>
          </rPr>
          <t>Transport, logistique de déploiement</t>
        </r>
      </text>
    </comment>
    <comment ref="E12" authorId="0" shapeId="0" xr:uid="{00000000-0006-0000-0300-000008000000}">
      <text>
        <r>
          <rPr>
            <sz val="10"/>
            <rFont val="Arial"/>
            <family val="2"/>
          </rPr>
          <t>Taux de contingence — hypothèse modifiable (10-15% usuel), appliqué en plus du facteur de majoration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400-000001000000}">
      <text>
        <r>
          <rPr>
            <sz val="10"/>
            <rFont val="Arial"/>
            <family val="2"/>
          </rPr>
          <t>Entretien portiques, caméras, capteurs (~10-15% CAPEX matériel)</t>
        </r>
      </text>
    </comment>
    <comment ref="C5" authorId="0" shapeId="0" xr:uid="{00000000-0006-0000-0400-000002000000}">
      <text>
        <r>
          <rPr>
            <sz val="10"/>
            <rFont val="Arial"/>
            <family val="2"/>
          </rPr>
          <t>Renouvellement licences back-office et mises à jour</t>
        </r>
      </text>
    </comment>
    <comment ref="C6" authorId="0" shapeId="0" xr:uid="{00000000-0006-0000-0400-000003000000}">
      <text>
        <r>
          <rPr>
            <sz val="10"/>
            <rFont val="Arial"/>
            <family val="2"/>
          </rPr>
          <t>Bande passante, hébergement cloud/serveurs</t>
        </r>
      </text>
    </comment>
    <comment ref="C7" authorId="0" shapeId="0" xr:uid="{00000000-0006-0000-0400-000004000000}">
      <text>
        <r>
          <rPr>
            <sz val="10"/>
            <rFont val="Arial"/>
            <family val="2"/>
          </rPr>
          <t>Voir feuille MO_Exploitation</t>
        </r>
      </text>
    </comment>
  </commentList>
</comments>
</file>

<file path=xl/sharedStrings.xml><?xml version="1.0" encoding="utf-8"?>
<sst xmlns="http://schemas.openxmlformats.org/spreadsheetml/2006/main" count="138" uniqueCount="115">
  <si>
    <t>Synthèse du chiffrage — Péage échangeur Pont 8 Novembre</t>
  </si>
  <si>
    <t>Hypothèse de majoration</t>
  </si>
  <si>
    <t>Facteur de majoration retenu (couverture des imprévus)</t>
  </si>
  <si>
    <t>Appliqué à chaque poste du CAPEX et de l'OPEX (voir feuilles CAPEX / OPEX)</t>
  </si>
  <si>
    <t>Durée et effectifs</t>
  </si>
  <si>
    <t>Durée totale de mise en œuvre</t>
  </si>
  <si>
    <t>Effectif mobilisé — mise en œuvre (cumulé)</t>
  </si>
  <si>
    <t>Effectif permanent — exploitation</t>
  </si>
  <si>
    <t>Coûts (majorés)</t>
  </si>
  <si>
    <t>CAPEX total majoré</t>
  </si>
  <si>
    <t xml:space="preserve">  dont sous-total de base (avant majoration)</t>
  </si>
  <si>
    <t>Pour référence — voir feuille CAPEX</t>
  </si>
  <si>
    <t>OPEX annuel total majoré</t>
  </si>
  <si>
    <t>Pour référence — voir feuille OPEX</t>
  </si>
  <si>
    <t>Référence recettes et retour sur investissement</t>
  </si>
  <si>
    <t>Recettes annuelles estimées (scénario central)</t>
  </si>
  <si>
    <t>Recettes nettes annuelles (recettes - OPEX majoré)</t>
  </si>
  <si>
    <t>Retour sur investissement (mois)</t>
  </si>
  <si>
    <t>Main d'œuvre qualifiée — phase de mise en œuvre (coût de base, hors majoration)</t>
  </si>
  <si>
    <t>Chiffres bleus = hypothèses modifiables. Taux de base, avant application du facteur de majoration (voir feuille Synthèse).</t>
  </si>
  <si>
    <t>Catégorie CAPEX</t>
  </si>
  <si>
    <t>Poste</t>
  </si>
  <si>
    <t>Profil / qualification requise</t>
  </si>
  <si>
    <t>Effectif</t>
  </si>
  <si>
    <t>Taux mensuel (USD)</t>
  </si>
  <si>
    <t>Durée (mois)</t>
  </si>
  <si>
    <t>Coût total (USD)</t>
  </si>
  <si>
    <t>Études et ingénierie</t>
  </si>
  <si>
    <t>Chef de projet / ingénieur génie civil</t>
  </si>
  <si>
    <t>Bac+5 génie civil, 10 ans d'expérience min.</t>
  </si>
  <si>
    <t>Ingénieur trafic</t>
  </si>
  <si>
    <t>Bac+5 ingénierie des transports</t>
  </si>
  <si>
    <t>Enquêteurs terrain (comptage O-D)</t>
  </si>
  <si>
    <t>Techniciens formés au comptage de trafic</t>
  </si>
  <si>
    <t>Juriste / expert institutionnel</t>
  </si>
  <si>
    <t>Bac+5 droit public, consultant</t>
  </si>
  <si>
    <t>Génie civil et portiques</t>
  </si>
  <si>
    <t>Chef de chantier</t>
  </si>
  <si>
    <t>Bac+3 génie civil, 8 ans d'expérience</t>
  </si>
  <si>
    <t>Ouvriers qualifiés (maçons, électriciens)</t>
  </si>
  <si>
    <t>CAP/BEP + expérience chantier</t>
  </si>
  <si>
    <t>Ingénieur électrique</t>
  </si>
  <si>
    <t>Bac+5 électrotechnique</t>
  </si>
  <si>
    <t>Back-office et plateforme logicielle</t>
  </si>
  <si>
    <t>Architecte logiciel</t>
  </si>
  <si>
    <t>Bac+5 informatique, 8 ans d'expérience</t>
  </si>
  <si>
    <t>Ingénieur systèmes ANPR/RFID</t>
  </si>
  <si>
    <t>Spécialiste, 10 ans d'expérience</t>
  </si>
  <si>
    <t>Développeurs back-end</t>
  </si>
  <si>
    <t>Bac+4/5 informatique</t>
  </si>
  <si>
    <t>Intégration paiement mobile</t>
  </si>
  <si>
    <t>Développeur intégration (Orange Money / Mobile Money)</t>
  </si>
  <si>
    <t>Installation et mise en service</t>
  </si>
  <si>
    <t>Techniciens installation équipement</t>
  </si>
  <si>
    <t>Bac+2 électronique / télécoms</t>
  </si>
  <si>
    <t>Formateurs / accompagnement usagers</t>
  </si>
  <si>
    <t>Bac+3, expérience formation</t>
  </si>
  <si>
    <t>TOTAL MAIN D'ŒUVRE — MISE EN ŒUVRE (base)</t>
  </si>
  <si>
    <t>Main d'œuvre qualifiée — exploitation continue (coût de base, hors majoration)</t>
  </si>
  <si>
    <t>Coût mensuel (USD)</t>
  </si>
  <si>
    <t>Coût annuel (USD)</t>
  </si>
  <si>
    <t>Superviseur trafic (responsable tableau de bord)</t>
  </si>
  <si>
    <t>Bac+4/5, expérience gestion de trafic urbain</t>
  </si>
  <si>
    <t>Agents de contrôle / enforcement</t>
  </si>
  <si>
    <t>Formation spécifique contrôle routier</t>
  </si>
  <si>
    <t>Agents support usagers / centre d'appel</t>
  </si>
  <si>
    <t>Bac+2, relation client</t>
  </si>
  <si>
    <t>Techniciens maintenance équipements</t>
  </si>
  <si>
    <t>Bac+2 électronique</t>
  </si>
  <si>
    <t>Comptable / gestion recouvrement</t>
  </si>
  <si>
    <t>Bac+3 comptabilité</t>
  </si>
  <si>
    <t>TOTAL MAIN D'ŒUVRE — EXPLOITATION (base)</t>
  </si>
  <si>
    <t>Investissement initial détaillé (CAPEX) — majoré pour couvrir les imprévus</t>
  </si>
  <si>
    <t>Main d'œuvre (USD)</t>
  </si>
  <si>
    <t>Matériel / équipement / autres (USD)</t>
  </si>
  <si>
    <t>Sous-total de base (USD)</t>
  </si>
  <si>
    <t>Facteur de majoration</t>
  </si>
  <si>
    <t>Total majoré (USD)</t>
  </si>
  <si>
    <t>Équipements de détection</t>
  </si>
  <si>
    <t>Centre de supervision</t>
  </si>
  <si>
    <t>Sous-total majoré avant contingence</t>
  </si>
  <si>
    <t>Contingence additionnelle (aléas de mise en œuvre)</t>
  </si>
  <si>
    <t>TOTAL CAPEX (majoré + contingence)</t>
  </si>
  <si>
    <t>Pour mémoire — sous-total de base avant majoration</t>
  </si>
  <si>
    <t>Coûts d'exploitation annuels détaillés (OPEX) — majorés pour couvrir les imprévus</t>
  </si>
  <si>
    <t>Main d'œuvre (USD/an)</t>
  </si>
  <si>
    <t>Autres coûts (USD/an)</t>
  </si>
  <si>
    <t>Sous-total de base (USD/an)</t>
  </si>
  <si>
    <t>Total majoré (USD/an)</t>
  </si>
  <si>
    <t>Maintenance des équipements</t>
  </si>
  <si>
    <t>Licences logicielles</t>
  </si>
  <si>
    <t>Connectivité et hébergement</t>
  </si>
  <si>
    <t>Personnel d'exploitation</t>
  </si>
  <si>
    <t>TOTAL OPEX majoré (hors commissions de paiement)</t>
  </si>
  <si>
    <t>Frais de paiement mobile (commissions de transaction)</t>
  </si>
  <si>
    <t>Variable — ~1 à 2% des recettes encaissées</t>
  </si>
  <si>
    <t>Durée du projet — phasage de mise en œuvre</t>
  </si>
  <si>
    <t>Phase</t>
  </si>
  <si>
    <t>Contenu</t>
  </si>
  <si>
    <t>Durée retenue (mois)</t>
  </si>
  <si>
    <t>Début (mois)</t>
  </si>
  <si>
    <t>Fin (mois)</t>
  </si>
  <si>
    <t>1. Études préalables</t>
  </si>
  <si>
    <t>Comptages de trafic, enquête origine-destination, étude d'impact, cadrage juridique</t>
  </si>
  <si>
    <t>2. Conception détaillée</t>
  </si>
  <si>
    <t>Dimensionnement des portiques, choix des équipements, architecture logicielle</t>
  </si>
  <si>
    <t>3. Phase pilote</t>
  </si>
  <si>
    <t>Installation du dispositif, tests techniques, exploitation gratuite</t>
  </si>
  <si>
    <t>4. Mise en service tarifée</t>
  </si>
  <si>
    <t>Introduction progressive de la tarification, période de grâce</t>
  </si>
  <si>
    <t>5. Exploitation et extension</t>
  </si>
  <si>
    <t>Montée en charge, évaluation, étude d'extension</t>
  </si>
  <si>
    <t>Continu</t>
  </si>
  <si>
    <t>—</t>
  </si>
  <si>
    <t>DURÉE TOTALE DE MISE EN ŒUVRE (avant exploitation)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</si>
</sst>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\x"/>
    <numFmt numFmtId="165" formatCode="0.0&quot; mois&quot;"/>
    <numFmt numFmtId="166" formatCode="0&quot; personnes&quot;"/>
    <numFmt numFmtId="167" formatCode="\$#,##0;&quot;($&quot;#,##0\);\-"/>
    <numFmt numFmtId="168" formatCode="0.0%"/>
  </numFmts>
  <fonts count="12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i/>
      <sz val="9"/>
      <color rgb="FF5F5E5A"/>
      <name val="Arial"/>
      <charset val="1"/>
    </font>
    <font>
      <sz val="11"/>
      <name val="Arial"/>
      <charset val="1"/>
    </font>
    <font>
      <sz val="10"/>
      <name val="Arial"/>
      <family val="2"/>
    </font>
    <font>
      <b/>
      <sz val="13"/>
      <name val="Arial"/>
      <charset val="1"/>
    </font>
    <font>
      <b/>
      <sz val="11"/>
      <color rgb="FFFFFFFF"/>
      <name val="Arial"/>
      <charset val="1"/>
    </font>
    <font>
      <i/>
      <sz val="10"/>
      <color rgb="FF5F5E5A"/>
      <name val="Arial"/>
      <charset val="1"/>
    </font>
    <font>
      <i/>
      <sz val="11"/>
      <name val="Arial"/>
      <charset val="1"/>
    </font>
    <font>
      <i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AECE7"/>
        <bgColor rgb="FFF1EFE8"/>
      </patternFill>
    </fill>
    <fill>
      <patternFill patternType="solid">
        <fgColor rgb="FFE1F5EE"/>
        <bgColor rgb="FFF1EFE8"/>
      </patternFill>
    </fill>
    <fill>
      <patternFill patternType="solid">
        <fgColor rgb="FF0F6E56"/>
        <bgColor rgb="FF008080"/>
      </patternFill>
    </fill>
    <fill>
      <patternFill patternType="solid">
        <fgColor rgb="FFF1EFE8"/>
        <bgColor rgb="FFFAECE7"/>
      </patternFill>
    </fill>
  </fills>
  <borders count="2">
    <border>
      <left/>
      <right/>
      <top/>
      <bottom/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5" borderId="1" xfId="0" applyFont="1" applyFill="1" applyBorder="1"/>
    <xf numFmtId="0" fontId="7" fillId="0" borderId="0" xfId="0" applyFont="1"/>
    <xf numFmtId="0" fontId="2" fillId="3" borderId="0" xfId="0" applyFont="1" applyFill="1"/>
    <xf numFmtId="0" fontId="2" fillId="2" borderId="0" xfId="0" applyFont="1" applyFill="1"/>
    <xf numFmtId="0" fontId="1" fillId="0" borderId="0" xfId="0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0" fontId="8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167" fontId="3" fillId="5" borderId="1" xfId="0" applyNumberFormat="1" applyFont="1" applyFill="1" applyBorder="1"/>
    <xf numFmtId="164" fontId="5" fillId="0" borderId="1" xfId="0" applyNumberFormat="1" applyFont="1" applyBorder="1"/>
    <xf numFmtId="167" fontId="5" fillId="2" borderId="1" xfId="0" applyNumberFormat="1" applyFont="1" applyFill="1" applyBorder="1"/>
    <xf numFmtId="168" fontId="5" fillId="0" borderId="1" xfId="0" applyNumberFormat="1" applyFont="1" applyBorder="1"/>
    <xf numFmtId="0" fontId="8" fillId="4" borderId="1" xfId="0" applyFont="1" applyFill="1" applyBorder="1"/>
    <xf numFmtId="0" fontId="0" fillId="4" borderId="1" xfId="0" applyFill="1" applyBorder="1"/>
    <xf numFmtId="167" fontId="8" fillId="4" borderId="1" xfId="0" applyNumberFormat="1" applyFont="1" applyFill="1" applyBorder="1"/>
    <xf numFmtId="0" fontId="9" fillId="0" borderId="0" xfId="0" applyFont="1"/>
    <xf numFmtId="167" fontId="9" fillId="0" borderId="0" xfId="0" applyNumberFormat="1" applyFont="1"/>
    <xf numFmtId="0" fontId="10" fillId="0" borderId="0" xfId="0" applyFont="1"/>
    <xf numFmtId="0" fontId="11" fillId="0" borderId="0" xfId="0" applyFont="1"/>
    <xf numFmtId="165" fontId="3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4B2A9"/>
      <rgbColor rgb="FF808080"/>
      <rgbColor rgb="FF9999FF"/>
      <rgbColor rgb="FF993366"/>
      <rgbColor rgb="FFF1EFE8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zoomScaleNormal="100" workbookViewId="0">
      <selection sqref="A1:C1"/>
    </sheetView>
  </sheetViews>
  <sheetFormatPr defaultColWidth="8.6328125" defaultRowHeight="14.5" x14ac:dyDescent="0.35"/>
  <cols>
    <col min="1" max="1" width="46" customWidth="1"/>
    <col min="2" max="2" width="20" customWidth="1"/>
    <col min="3" max="3" width="46" customWidth="1"/>
  </cols>
  <sheetData>
    <row r="1" spans="1:3" ht="18" x14ac:dyDescent="0.4">
      <c r="A1" s="5" t="s">
        <v>0</v>
      </c>
      <c r="B1" s="5"/>
      <c r="C1" s="5"/>
    </row>
    <row r="3" spans="1:3" ht="15.5" x14ac:dyDescent="0.35">
      <c r="A3" s="4" t="s">
        <v>1</v>
      </c>
      <c r="B3" s="4"/>
      <c r="C3" s="4"/>
    </row>
    <row r="4" spans="1:3" x14ac:dyDescent="0.35">
      <c r="A4" s="6" t="s">
        <v>2</v>
      </c>
      <c r="B4" s="7">
        <v>3</v>
      </c>
    </row>
    <row r="5" spans="1:3" x14ac:dyDescent="0.35">
      <c r="A5" s="8" t="s">
        <v>3</v>
      </c>
    </row>
    <row r="7" spans="1:3" ht="15.5" x14ac:dyDescent="0.35">
      <c r="A7" s="3" t="s">
        <v>4</v>
      </c>
      <c r="B7" s="3"/>
      <c r="C7" s="3"/>
    </row>
    <row r="8" spans="1:3" x14ac:dyDescent="0.35">
      <c r="A8" s="9" t="s">
        <v>5</v>
      </c>
      <c r="B8" s="10">
        <f>Planning!E10</f>
        <v>8</v>
      </c>
    </row>
    <row r="9" spans="1:3" x14ac:dyDescent="0.35">
      <c r="A9" s="9" t="s">
        <v>6</v>
      </c>
      <c r="B9" s="11">
        <f>SUM(MO_CAPEX!D4:D16)</f>
        <v>25</v>
      </c>
    </row>
    <row r="10" spans="1:3" x14ac:dyDescent="0.35">
      <c r="A10" s="9" t="s">
        <v>7</v>
      </c>
      <c r="B10" s="11">
        <f>SUM(MO_Exploitation!C4:C8)</f>
        <v>11</v>
      </c>
    </row>
    <row r="12" spans="1:3" ht="15.5" x14ac:dyDescent="0.35">
      <c r="A12" s="3" t="s">
        <v>8</v>
      </c>
      <c r="B12" s="3"/>
      <c r="C12" s="3"/>
    </row>
    <row r="13" spans="1:3" x14ac:dyDescent="0.35">
      <c r="A13" s="9" t="s">
        <v>9</v>
      </c>
      <c r="B13" s="12">
        <f>CAPEX!F13</f>
        <v>1528128</v>
      </c>
    </row>
    <row r="14" spans="1:3" x14ac:dyDescent="0.35">
      <c r="A14" s="9" t="s">
        <v>10</v>
      </c>
      <c r="B14" s="12">
        <f>CAPEX!D15</f>
        <v>454800</v>
      </c>
      <c r="C14" s="8" t="s">
        <v>11</v>
      </c>
    </row>
    <row r="15" spans="1:3" x14ac:dyDescent="0.35">
      <c r="A15" s="9" t="s">
        <v>12</v>
      </c>
      <c r="B15" s="12">
        <f>OPEX!F8</f>
        <v>477000</v>
      </c>
    </row>
    <row r="16" spans="1:3" x14ac:dyDescent="0.35">
      <c r="A16" s="9" t="s">
        <v>10</v>
      </c>
      <c r="B16" s="12">
        <f>OPEX!D9</f>
        <v>159000</v>
      </c>
      <c r="C16" s="8" t="s">
        <v>13</v>
      </c>
    </row>
    <row r="18" spans="1:3" ht="15.5" x14ac:dyDescent="0.35">
      <c r="A18" s="3" t="s">
        <v>14</v>
      </c>
      <c r="B18" s="3"/>
      <c r="C18" s="3"/>
    </row>
    <row r="19" spans="1:3" x14ac:dyDescent="0.35">
      <c r="A19" s="9" t="s">
        <v>15</v>
      </c>
      <c r="B19" s="12">
        <v>1100000</v>
      </c>
    </row>
    <row r="20" spans="1:3" x14ac:dyDescent="0.35">
      <c r="A20" s="9" t="s">
        <v>16</v>
      </c>
      <c r="B20" s="12">
        <f>B19-B15</f>
        <v>623000</v>
      </c>
    </row>
    <row r="21" spans="1:3" x14ac:dyDescent="0.35">
      <c r="A21" s="9" t="s">
        <v>17</v>
      </c>
      <c r="B21" s="10">
        <f>IF(B20&lt;=0,"n/d",B13/(B20/12))</f>
        <v>29.434247191011238</v>
      </c>
    </row>
  </sheetData>
  <mergeCells count="5">
    <mergeCell ref="A1:C1"/>
    <mergeCell ref="A3:C3"/>
    <mergeCell ref="A7:C7"/>
    <mergeCell ref="A12:C12"/>
    <mergeCell ref="A18:C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zoomScaleNormal="100" workbookViewId="0">
      <selection sqref="A1:G1"/>
    </sheetView>
  </sheetViews>
  <sheetFormatPr defaultColWidth="8.6328125" defaultRowHeight="14.5" x14ac:dyDescent="0.35"/>
  <cols>
    <col min="1" max="1" width="26" customWidth="1"/>
    <col min="2" max="2" width="30" customWidth="1"/>
    <col min="3" max="3" width="32" customWidth="1"/>
    <col min="4" max="4" width="10" customWidth="1"/>
    <col min="5" max="5" width="16" customWidth="1"/>
    <col min="6" max="6" width="12" customWidth="1"/>
    <col min="7" max="7" width="16" customWidth="1"/>
  </cols>
  <sheetData>
    <row r="1" spans="1:7" ht="16.5" x14ac:dyDescent="0.35">
      <c r="A1" s="2" t="s">
        <v>18</v>
      </c>
      <c r="B1" s="2"/>
      <c r="C1" s="2"/>
      <c r="D1" s="2"/>
      <c r="E1" s="2"/>
      <c r="F1" s="2"/>
      <c r="G1" s="2"/>
    </row>
    <row r="2" spans="1:7" x14ac:dyDescent="0.35">
      <c r="A2" s="8" t="s">
        <v>19</v>
      </c>
    </row>
    <row r="3" spans="1:7" ht="28" x14ac:dyDescent="0.35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</row>
    <row r="4" spans="1:7" x14ac:dyDescent="0.35">
      <c r="A4" s="9" t="s">
        <v>27</v>
      </c>
      <c r="B4" s="9" t="s">
        <v>28</v>
      </c>
      <c r="C4" s="9" t="s">
        <v>29</v>
      </c>
      <c r="D4" s="9">
        <v>1</v>
      </c>
      <c r="E4" s="12">
        <v>3000</v>
      </c>
      <c r="F4" s="10">
        <v>2.5</v>
      </c>
      <c r="G4" s="12">
        <f t="shared" ref="G4:G16" si="0">D4*E4*F4</f>
        <v>7500</v>
      </c>
    </row>
    <row r="5" spans="1:7" x14ac:dyDescent="0.35">
      <c r="A5" s="9" t="s">
        <v>27</v>
      </c>
      <c r="B5" s="9" t="s">
        <v>30</v>
      </c>
      <c r="C5" s="9" t="s">
        <v>31</v>
      </c>
      <c r="D5" s="9">
        <v>1</v>
      </c>
      <c r="E5" s="12">
        <v>2200</v>
      </c>
      <c r="F5" s="10">
        <v>2.5</v>
      </c>
      <c r="G5" s="12">
        <f t="shared" si="0"/>
        <v>5500</v>
      </c>
    </row>
    <row r="6" spans="1:7" x14ac:dyDescent="0.35">
      <c r="A6" s="9" t="s">
        <v>27</v>
      </c>
      <c r="B6" s="9" t="s">
        <v>32</v>
      </c>
      <c r="C6" s="9" t="s">
        <v>33</v>
      </c>
      <c r="D6" s="9">
        <v>4</v>
      </c>
      <c r="E6" s="12">
        <v>400</v>
      </c>
      <c r="F6" s="10">
        <v>1</v>
      </c>
      <c r="G6" s="12">
        <f t="shared" si="0"/>
        <v>1600</v>
      </c>
    </row>
    <row r="7" spans="1:7" x14ac:dyDescent="0.35">
      <c r="A7" s="9" t="s">
        <v>27</v>
      </c>
      <c r="B7" s="9" t="s">
        <v>34</v>
      </c>
      <c r="C7" s="9" t="s">
        <v>35</v>
      </c>
      <c r="D7" s="9">
        <v>1</v>
      </c>
      <c r="E7" s="12">
        <v>2500</v>
      </c>
      <c r="F7" s="10">
        <v>1</v>
      </c>
      <c r="G7" s="12">
        <f t="shared" si="0"/>
        <v>2500</v>
      </c>
    </row>
    <row r="8" spans="1:7" x14ac:dyDescent="0.35">
      <c r="A8" s="9" t="s">
        <v>36</v>
      </c>
      <c r="B8" s="9" t="s">
        <v>37</v>
      </c>
      <c r="C8" s="9" t="s">
        <v>38</v>
      </c>
      <c r="D8" s="9">
        <v>1</v>
      </c>
      <c r="E8" s="12">
        <v>1500</v>
      </c>
      <c r="F8" s="10">
        <v>2.5</v>
      </c>
      <c r="G8" s="12">
        <f t="shared" si="0"/>
        <v>3750</v>
      </c>
    </row>
    <row r="9" spans="1:7" x14ac:dyDescent="0.35">
      <c r="A9" s="9" t="s">
        <v>36</v>
      </c>
      <c r="B9" s="9" t="s">
        <v>39</v>
      </c>
      <c r="C9" s="9" t="s">
        <v>40</v>
      </c>
      <c r="D9" s="9">
        <v>6</v>
      </c>
      <c r="E9" s="12">
        <v>500</v>
      </c>
      <c r="F9" s="10">
        <v>2</v>
      </c>
      <c r="G9" s="12">
        <f t="shared" si="0"/>
        <v>6000</v>
      </c>
    </row>
    <row r="10" spans="1:7" x14ac:dyDescent="0.35">
      <c r="A10" s="9" t="s">
        <v>36</v>
      </c>
      <c r="B10" s="9" t="s">
        <v>41</v>
      </c>
      <c r="C10" s="9" t="s">
        <v>42</v>
      </c>
      <c r="D10" s="9">
        <v>1</v>
      </c>
      <c r="E10" s="12">
        <v>2000</v>
      </c>
      <c r="F10" s="10">
        <v>1</v>
      </c>
      <c r="G10" s="12">
        <f t="shared" si="0"/>
        <v>2000</v>
      </c>
    </row>
    <row r="11" spans="1:7" x14ac:dyDescent="0.35">
      <c r="A11" s="9" t="s">
        <v>43</v>
      </c>
      <c r="B11" s="9" t="s">
        <v>44</v>
      </c>
      <c r="C11" s="9" t="s">
        <v>45</v>
      </c>
      <c r="D11" s="9">
        <v>1</v>
      </c>
      <c r="E11" s="12">
        <v>2500</v>
      </c>
      <c r="F11" s="10">
        <v>2</v>
      </c>
      <c r="G11" s="12">
        <f t="shared" si="0"/>
        <v>5000</v>
      </c>
    </row>
    <row r="12" spans="1:7" x14ac:dyDescent="0.35">
      <c r="A12" s="9" t="s">
        <v>43</v>
      </c>
      <c r="B12" s="9" t="s">
        <v>46</v>
      </c>
      <c r="C12" s="9" t="s">
        <v>47</v>
      </c>
      <c r="D12" s="9">
        <v>1</v>
      </c>
      <c r="E12" s="12">
        <v>4000</v>
      </c>
      <c r="F12" s="10">
        <v>1.5</v>
      </c>
      <c r="G12" s="12">
        <f t="shared" si="0"/>
        <v>6000</v>
      </c>
    </row>
    <row r="13" spans="1:7" x14ac:dyDescent="0.35">
      <c r="A13" s="9" t="s">
        <v>43</v>
      </c>
      <c r="B13" s="9" t="s">
        <v>48</v>
      </c>
      <c r="C13" s="9" t="s">
        <v>49</v>
      </c>
      <c r="D13" s="9">
        <v>2</v>
      </c>
      <c r="E13" s="12">
        <v>1800</v>
      </c>
      <c r="F13" s="10">
        <v>2.5</v>
      </c>
      <c r="G13" s="12">
        <f t="shared" si="0"/>
        <v>9000</v>
      </c>
    </row>
    <row r="14" spans="1:7" x14ac:dyDescent="0.35">
      <c r="A14" s="9" t="s">
        <v>50</v>
      </c>
      <c r="B14" s="9" t="s">
        <v>51</v>
      </c>
      <c r="C14" s="9" t="s">
        <v>49</v>
      </c>
      <c r="D14" s="9">
        <v>1</v>
      </c>
      <c r="E14" s="12">
        <v>1800</v>
      </c>
      <c r="F14" s="10">
        <v>1</v>
      </c>
      <c r="G14" s="12">
        <f t="shared" si="0"/>
        <v>1800</v>
      </c>
    </row>
    <row r="15" spans="1:7" x14ac:dyDescent="0.35">
      <c r="A15" s="9" t="s">
        <v>52</v>
      </c>
      <c r="B15" s="9" t="s">
        <v>53</v>
      </c>
      <c r="C15" s="9" t="s">
        <v>54</v>
      </c>
      <c r="D15" s="9">
        <v>3</v>
      </c>
      <c r="E15" s="12">
        <v>700</v>
      </c>
      <c r="F15" s="10">
        <v>1.5</v>
      </c>
      <c r="G15" s="12">
        <f t="shared" si="0"/>
        <v>3150</v>
      </c>
    </row>
    <row r="16" spans="1:7" x14ac:dyDescent="0.35">
      <c r="A16" s="9" t="s">
        <v>52</v>
      </c>
      <c r="B16" s="9" t="s">
        <v>55</v>
      </c>
      <c r="C16" s="9" t="s">
        <v>56</v>
      </c>
      <c r="D16" s="9">
        <v>2</v>
      </c>
      <c r="E16" s="12">
        <v>500</v>
      </c>
      <c r="F16" s="10">
        <v>1</v>
      </c>
      <c r="G16" s="12">
        <f t="shared" si="0"/>
        <v>1000</v>
      </c>
    </row>
    <row r="17" spans="1:7" x14ac:dyDescent="0.35">
      <c r="A17" s="1" t="s">
        <v>57</v>
      </c>
      <c r="B17" s="1"/>
      <c r="C17" s="1"/>
      <c r="D17" s="1"/>
      <c r="E17" s="1"/>
      <c r="F17" s="1"/>
      <c r="G17" s="15">
        <f>SUM(G4:G16)</f>
        <v>54800</v>
      </c>
    </row>
  </sheetData>
  <mergeCells count="2">
    <mergeCell ref="A1:G1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/>
  </sheetViews>
  <sheetFormatPr defaultColWidth="8.6328125" defaultRowHeight="14.5" x14ac:dyDescent="0.35"/>
  <cols>
    <col min="1" max="2" width="34" customWidth="1"/>
    <col min="3" max="3" width="10" customWidth="1"/>
    <col min="4" max="6" width="16" customWidth="1"/>
  </cols>
  <sheetData>
    <row r="1" spans="1:6" ht="16.5" x14ac:dyDescent="0.35">
      <c r="A1" s="2" t="s">
        <v>58</v>
      </c>
      <c r="B1" s="2"/>
      <c r="C1" s="2"/>
      <c r="D1" s="2"/>
      <c r="E1" s="2"/>
      <c r="F1" s="2"/>
    </row>
    <row r="3" spans="1:6" ht="28" x14ac:dyDescent="0.35">
      <c r="A3" s="13" t="s">
        <v>21</v>
      </c>
      <c r="B3" s="13" t="s">
        <v>22</v>
      </c>
      <c r="C3" s="13" t="s">
        <v>23</v>
      </c>
      <c r="D3" s="13" t="s">
        <v>24</v>
      </c>
      <c r="E3" s="13" t="s">
        <v>59</v>
      </c>
      <c r="F3" s="13" t="s">
        <v>60</v>
      </c>
    </row>
    <row r="4" spans="1:6" x14ac:dyDescent="0.35">
      <c r="A4" s="9" t="s">
        <v>61</v>
      </c>
      <c r="B4" s="9" t="s">
        <v>62</v>
      </c>
      <c r="C4" s="9">
        <v>1</v>
      </c>
      <c r="D4" s="12">
        <v>1200</v>
      </c>
      <c r="E4" s="12">
        <f>C4*D4</f>
        <v>1200</v>
      </c>
      <c r="F4" s="12">
        <f>E4*12</f>
        <v>14400</v>
      </c>
    </row>
    <row r="5" spans="1:6" x14ac:dyDescent="0.35">
      <c r="A5" s="9" t="s">
        <v>63</v>
      </c>
      <c r="B5" s="9" t="s">
        <v>64</v>
      </c>
      <c r="C5" s="9">
        <v>4</v>
      </c>
      <c r="D5" s="12">
        <v>400</v>
      </c>
      <c r="E5" s="12">
        <f>C5*D5</f>
        <v>1600</v>
      </c>
      <c r="F5" s="12">
        <f>E5*12</f>
        <v>19200</v>
      </c>
    </row>
    <row r="6" spans="1:6" x14ac:dyDescent="0.35">
      <c r="A6" s="9" t="s">
        <v>65</v>
      </c>
      <c r="B6" s="9" t="s">
        <v>66</v>
      </c>
      <c r="C6" s="9">
        <v>3</v>
      </c>
      <c r="D6" s="12">
        <v>350</v>
      </c>
      <c r="E6" s="12">
        <f>C6*D6</f>
        <v>1050</v>
      </c>
      <c r="F6" s="12">
        <f>E6*12</f>
        <v>12600</v>
      </c>
    </row>
    <row r="7" spans="1:6" x14ac:dyDescent="0.35">
      <c r="A7" s="9" t="s">
        <v>67</v>
      </c>
      <c r="B7" s="9" t="s">
        <v>68</v>
      </c>
      <c r="C7" s="9">
        <v>2</v>
      </c>
      <c r="D7" s="12">
        <v>600</v>
      </c>
      <c r="E7" s="12">
        <f>C7*D7</f>
        <v>1200</v>
      </c>
      <c r="F7" s="12">
        <f>E7*12</f>
        <v>14400</v>
      </c>
    </row>
    <row r="8" spans="1:6" x14ac:dyDescent="0.35">
      <c r="A8" s="9" t="s">
        <v>69</v>
      </c>
      <c r="B8" s="9" t="s">
        <v>70</v>
      </c>
      <c r="C8" s="9">
        <v>1</v>
      </c>
      <c r="D8" s="12">
        <v>700</v>
      </c>
      <c r="E8" s="12">
        <f>C8*D8</f>
        <v>700</v>
      </c>
      <c r="F8" s="12">
        <f>E8*12</f>
        <v>8400</v>
      </c>
    </row>
    <row r="9" spans="1:6" x14ac:dyDescent="0.35">
      <c r="A9" s="1" t="s">
        <v>71</v>
      </c>
      <c r="B9" s="1"/>
      <c r="C9" s="1"/>
      <c r="D9" s="1"/>
      <c r="E9" s="15">
        <f>SUM(E4:E8)</f>
        <v>5750</v>
      </c>
      <c r="F9" s="15">
        <f>SUM(F4:F8)</f>
        <v>69000</v>
      </c>
    </row>
  </sheetData>
  <mergeCells count="2">
    <mergeCell ref="A1:F1"/>
    <mergeCell ref="A9:D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zoomScaleNormal="100" workbookViewId="0">
      <selection sqref="A1:F1"/>
    </sheetView>
  </sheetViews>
  <sheetFormatPr defaultColWidth="8.6328125" defaultRowHeight="14.5" x14ac:dyDescent="0.35"/>
  <cols>
    <col min="1" max="1" width="34" customWidth="1"/>
    <col min="2" max="2" width="18" customWidth="1"/>
    <col min="3" max="3" width="26" customWidth="1"/>
    <col min="4" max="4" width="18" customWidth="1"/>
    <col min="5" max="5" width="14" customWidth="1"/>
    <col min="6" max="6" width="16" customWidth="1"/>
  </cols>
  <sheetData>
    <row r="1" spans="1:6" ht="16.5" x14ac:dyDescent="0.35">
      <c r="A1" s="2" t="s">
        <v>72</v>
      </c>
      <c r="B1" s="2"/>
      <c r="C1" s="2"/>
      <c r="D1" s="2"/>
      <c r="E1" s="2"/>
      <c r="F1" s="2"/>
    </row>
    <row r="3" spans="1:6" ht="28" x14ac:dyDescent="0.35">
      <c r="A3" s="13" t="s">
        <v>21</v>
      </c>
      <c r="B3" s="13" t="s">
        <v>73</v>
      </c>
      <c r="C3" s="13" t="s">
        <v>74</v>
      </c>
      <c r="D3" s="13" t="s">
        <v>75</v>
      </c>
      <c r="E3" s="13" t="s">
        <v>76</v>
      </c>
      <c r="F3" s="13" t="s">
        <v>77</v>
      </c>
    </row>
    <row r="4" spans="1:6" x14ac:dyDescent="0.35">
      <c r="A4" s="9" t="s">
        <v>27</v>
      </c>
      <c r="B4" s="12">
        <f>SUMIF(MO_CAPEX!$A$4:$A$16,"Études et ingénierie",MO_CAPEX!$G$4:$G$16)</f>
        <v>17100</v>
      </c>
      <c r="C4" s="12">
        <v>10000</v>
      </c>
      <c r="D4" s="12">
        <f t="shared" ref="D4:D10" si="0">B4+C4</f>
        <v>27100</v>
      </c>
      <c r="E4" s="16">
        <f>Synthèse!$B$4</f>
        <v>3</v>
      </c>
      <c r="F4" s="17">
        <f t="shared" ref="F4:F10" si="1">D4*E4</f>
        <v>81300</v>
      </c>
    </row>
    <row r="5" spans="1:6" x14ac:dyDescent="0.35">
      <c r="A5" s="9" t="s">
        <v>36</v>
      </c>
      <c r="B5" s="12">
        <f>SUMIF(MO_CAPEX!$A$4:$A$16,"Génie civil et portiques",MO_CAPEX!$G$4:$G$16)</f>
        <v>11750</v>
      </c>
      <c r="C5" s="12">
        <v>180000</v>
      </c>
      <c r="D5" s="12">
        <f t="shared" si="0"/>
        <v>191750</v>
      </c>
      <c r="E5" s="16">
        <f>Synthèse!$B$4</f>
        <v>3</v>
      </c>
      <c r="F5" s="17">
        <f t="shared" si="1"/>
        <v>575250</v>
      </c>
    </row>
    <row r="6" spans="1:6" x14ac:dyDescent="0.35">
      <c r="A6" s="9" t="s">
        <v>78</v>
      </c>
      <c r="B6" s="12">
        <v>0</v>
      </c>
      <c r="C6" s="12">
        <v>110000</v>
      </c>
      <c r="D6" s="12">
        <f t="shared" si="0"/>
        <v>110000</v>
      </c>
      <c r="E6" s="16">
        <f>Synthèse!$B$4</f>
        <v>3</v>
      </c>
      <c r="F6" s="17">
        <f t="shared" si="1"/>
        <v>330000</v>
      </c>
    </row>
    <row r="7" spans="1:6" x14ac:dyDescent="0.35">
      <c r="A7" s="9" t="s">
        <v>43</v>
      </c>
      <c r="B7" s="12">
        <f>SUMIF(MO_CAPEX!$A$4:$A$16,"Back-office et plateforme logicielle",MO_CAPEX!$G$4:$G$16)</f>
        <v>20000</v>
      </c>
      <c r="C7" s="12">
        <v>25000</v>
      </c>
      <c r="D7" s="12">
        <f t="shared" si="0"/>
        <v>45000</v>
      </c>
      <c r="E7" s="16">
        <f>Synthèse!$B$4</f>
        <v>3</v>
      </c>
      <c r="F7" s="17">
        <f t="shared" si="1"/>
        <v>135000</v>
      </c>
    </row>
    <row r="8" spans="1:6" x14ac:dyDescent="0.35">
      <c r="A8" s="9" t="s">
        <v>50</v>
      </c>
      <c r="B8" s="12">
        <f>SUMIF(MO_CAPEX!$A$4:$A$16,"Intégration paiement mobile",MO_CAPEX!$G$4:$G$16)</f>
        <v>1800</v>
      </c>
      <c r="C8" s="12">
        <v>12000</v>
      </c>
      <c r="D8" s="12">
        <f t="shared" si="0"/>
        <v>13800</v>
      </c>
      <c r="E8" s="16">
        <f>Synthèse!$B$4</f>
        <v>3</v>
      </c>
      <c r="F8" s="17">
        <f t="shared" si="1"/>
        <v>41400</v>
      </c>
    </row>
    <row r="9" spans="1:6" x14ac:dyDescent="0.35">
      <c r="A9" s="9" t="s">
        <v>79</v>
      </c>
      <c r="B9" s="12">
        <v>0</v>
      </c>
      <c r="C9" s="12">
        <v>55000</v>
      </c>
      <c r="D9" s="12">
        <f t="shared" si="0"/>
        <v>55000</v>
      </c>
      <c r="E9" s="16">
        <f>Synthèse!$B$4</f>
        <v>3</v>
      </c>
      <c r="F9" s="17">
        <f t="shared" si="1"/>
        <v>165000</v>
      </c>
    </row>
    <row r="10" spans="1:6" x14ac:dyDescent="0.35">
      <c r="A10" s="9" t="s">
        <v>52</v>
      </c>
      <c r="B10" s="12">
        <f>SUMIF(MO_CAPEX!$A$4:$A$16,"Installation et mise en service",MO_CAPEX!$G$4:$G$16)</f>
        <v>4150</v>
      </c>
      <c r="C10" s="12">
        <v>8000</v>
      </c>
      <c r="D10" s="12">
        <f t="shared" si="0"/>
        <v>12150</v>
      </c>
      <c r="E10" s="16">
        <f>Synthèse!$B$4</f>
        <v>3</v>
      </c>
      <c r="F10" s="17">
        <f t="shared" si="1"/>
        <v>36450</v>
      </c>
    </row>
    <row r="11" spans="1:6" x14ac:dyDescent="0.35">
      <c r="A11" s="14" t="s">
        <v>80</v>
      </c>
      <c r="B11" s="14"/>
      <c r="C11" s="14"/>
      <c r="D11" s="14"/>
      <c r="E11" s="14"/>
      <c r="F11" s="15">
        <f>SUM(F4:F10)</f>
        <v>1364400</v>
      </c>
    </row>
    <row r="12" spans="1:6" x14ac:dyDescent="0.35">
      <c r="A12" s="9" t="s">
        <v>81</v>
      </c>
      <c r="B12" s="9"/>
      <c r="C12" s="9"/>
      <c r="D12" s="9"/>
      <c r="E12" s="18">
        <v>0.12</v>
      </c>
      <c r="F12" s="12">
        <f>F11*E12</f>
        <v>163728</v>
      </c>
    </row>
    <row r="13" spans="1:6" x14ac:dyDescent="0.35">
      <c r="A13" s="19" t="s">
        <v>82</v>
      </c>
      <c r="B13" s="20"/>
      <c r="C13" s="20"/>
      <c r="D13" s="20"/>
      <c r="E13" s="20"/>
      <c r="F13" s="21">
        <f>F11+F12</f>
        <v>1528128</v>
      </c>
    </row>
    <row r="15" spans="1:6" x14ac:dyDescent="0.35">
      <c r="A15" s="22" t="s">
        <v>83</v>
      </c>
      <c r="D15" s="23">
        <f>SUM(D4:D10)</f>
        <v>454800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tabSelected="1" zoomScaleNormal="100" workbookViewId="0">
      <selection sqref="A1:F1"/>
    </sheetView>
  </sheetViews>
  <sheetFormatPr defaultColWidth="8.6328125" defaultRowHeight="14.5" x14ac:dyDescent="0.35"/>
  <cols>
    <col min="1" max="1" width="34" customWidth="1"/>
    <col min="2" max="2" width="18" customWidth="1"/>
    <col min="3" max="3" width="20" customWidth="1"/>
    <col min="4" max="4" width="18" customWidth="1"/>
    <col min="5" max="5" width="14" customWidth="1"/>
    <col min="6" max="6" width="16" customWidth="1"/>
  </cols>
  <sheetData>
    <row r="1" spans="1:6" ht="16.5" x14ac:dyDescent="0.35">
      <c r="A1" s="2" t="s">
        <v>84</v>
      </c>
      <c r="B1" s="2"/>
      <c r="C1" s="2"/>
      <c r="D1" s="2"/>
      <c r="E1" s="2"/>
      <c r="F1" s="2"/>
    </row>
    <row r="3" spans="1:6" ht="28" x14ac:dyDescent="0.35">
      <c r="A3" s="13" t="s">
        <v>21</v>
      </c>
      <c r="B3" s="13" t="s">
        <v>85</v>
      </c>
      <c r="C3" s="13" t="s">
        <v>86</v>
      </c>
      <c r="D3" s="13" t="s">
        <v>87</v>
      </c>
      <c r="E3" s="13" t="s">
        <v>76</v>
      </c>
      <c r="F3" s="13" t="s">
        <v>88</v>
      </c>
    </row>
    <row r="4" spans="1:6" x14ac:dyDescent="0.35">
      <c r="A4" s="9" t="s">
        <v>89</v>
      </c>
      <c r="B4" s="12">
        <v>0</v>
      </c>
      <c r="C4" s="12">
        <v>55000</v>
      </c>
      <c r="D4" s="12">
        <f>B4+C4</f>
        <v>55000</v>
      </c>
      <c r="E4" s="16">
        <f>Synthèse!$B$4</f>
        <v>3</v>
      </c>
      <c r="F4" s="17">
        <f>D4*E4</f>
        <v>165000</v>
      </c>
    </row>
    <row r="5" spans="1:6" x14ac:dyDescent="0.35">
      <c r="A5" s="9" t="s">
        <v>90</v>
      </c>
      <c r="B5" s="12">
        <v>0</v>
      </c>
      <c r="C5" s="12">
        <v>20000</v>
      </c>
      <c r="D5" s="12">
        <f>B5+C5</f>
        <v>20000</v>
      </c>
      <c r="E5" s="16">
        <f>Synthèse!$B$4</f>
        <v>3</v>
      </c>
      <c r="F5" s="17">
        <f>D5*E5</f>
        <v>60000</v>
      </c>
    </row>
    <row r="6" spans="1:6" x14ac:dyDescent="0.35">
      <c r="A6" s="9" t="s">
        <v>91</v>
      </c>
      <c r="B6" s="12">
        <v>0</v>
      </c>
      <c r="C6" s="12">
        <v>15000</v>
      </c>
      <c r="D6" s="12">
        <f>B6+C6</f>
        <v>15000</v>
      </c>
      <c r="E6" s="16">
        <f>Synthèse!$B$4</f>
        <v>3</v>
      </c>
      <c r="F6" s="17">
        <f>D6*E6</f>
        <v>45000</v>
      </c>
    </row>
    <row r="7" spans="1:6" x14ac:dyDescent="0.35">
      <c r="A7" s="9" t="s">
        <v>92</v>
      </c>
      <c r="B7" s="12">
        <f>MO_Exploitation!F9</f>
        <v>69000</v>
      </c>
      <c r="C7" s="12">
        <v>0</v>
      </c>
      <c r="D7" s="12">
        <f>B7+C7</f>
        <v>69000</v>
      </c>
      <c r="E7" s="16">
        <f>Synthèse!$B$4</f>
        <v>3</v>
      </c>
      <c r="F7" s="17">
        <f>D7*E7</f>
        <v>207000</v>
      </c>
    </row>
    <row r="8" spans="1:6" x14ac:dyDescent="0.35">
      <c r="A8" s="19" t="s">
        <v>93</v>
      </c>
      <c r="B8" s="20"/>
      <c r="C8" s="20"/>
      <c r="D8" s="20"/>
      <c r="E8" s="20"/>
      <c r="F8" s="21">
        <f>SUM(F4:F7)</f>
        <v>477000</v>
      </c>
    </row>
    <row r="9" spans="1:6" x14ac:dyDescent="0.35">
      <c r="A9" s="22" t="s">
        <v>83</v>
      </c>
      <c r="D9" s="23">
        <f>SUM(D4:D7)</f>
        <v>159000</v>
      </c>
    </row>
    <row r="11" spans="1:6" x14ac:dyDescent="0.35">
      <c r="A11" s="24" t="s">
        <v>94</v>
      </c>
      <c r="F11" s="25" t="s">
        <v>95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zoomScaleNormal="100" workbookViewId="0">
      <selection sqref="A1:E1"/>
    </sheetView>
  </sheetViews>
  <sheetFormatPr defaultColWidth="8.6328125" defaultRowHeight="14.5" x14ac:dyDescent="0.35"/>
  <cols>
    <col min="1" max="1" width="26" customWidth="1"/>
    <col min="2" max="2" width="44" customWidth="1"/>
    <col min="3" max="3" width="16" customWidth="1"/>
    <col min="4" max="5" width="12" customWidth="1"/>
  </cols>
  <sheetData>
    <row r="1" spans="1:5" ht="16.5" x14ac:dyDescent="0.35">
      <c r="A1" s="2" t="s">
        <v>96</v>
      </c>
      <c r="B1" s="2"/>
      <c r="C1" s="2"/>
      <c r="D1" s="2"/>
      <c r="E1" s="2"/>
    </row>
    <row r="3" spans="1:5" ht="28" x14ac:dyDescent="0.35">
      <c r="A3" s="13" t="s">
        <v>97</v>
      </c>
      <c r="B3" s="13" t="s">
        <v>98</v>
      </c>
      <c r="C3" s="13" t="s">
        <v>99</v>
      </c>
      <c r="D3" s="13" t="s">
        <v>100</v>
      </c>
      <c r="E3" s="13" t="s">
        <v>101</v>
      </c>
    </row>
    <row r="4" spans="1:5" x14ac:dyDescent="0.35">
      <c r="A4" s="9" t="s">
        <v>102</v>
      </c>
      <c r="B4" s="9" t="s">
        <v>103</v>
      </c>
      <c r="C4" s="10">
        <v>2.5</v>
      </c>
      <c r="D4" s="10">
        <v>0</v>
      </c>
      <c r="E4" s="10">
        <f>D4+C4</f>
        <v>2.5</v>
      </c>
    </row>
    <row r="5" spans="1:5" x14ac:dyDescent="0.35">
      <c r="A5" s="9" t="s">
        <v>104</v>
      </c>
      <c r="B5" s="9" t="s">
        <v>105</v>
      </c>
      <c r="C5" s="10">
        <v>2</v>
      </c>
      <c r="D5" s="10">
        <f>E4</f>
        <v>2.5</v>
      </c>
      <c r="E5" s="10">
        <f>D5+C5</f>
        <v>4.5</v>
      </c>
    </row>
    <row r="6" spans="1:5" x14ac:dyDescent="0.35">
      <c r="A6" s="9" t="s">
        <v>106</v>
      </c>
      <c r="B6" s="9" t="s">
        <v>107</v>
      </c>
      <c r="C6" s="10">
        <v>2.5</v>
      </c>
      <c r="D6" s="10">
        <f>E5</f>
        <v>4.5</v>
      </c>
      <c r="E6" s="10">
        <f>D6+C6</f>
        <v>7</v>
      </c>
    </row>
    <row r="7" spans="1:5" x14ac:dyDescent="0.35">
      <c r="A7" s="9" t="s">
        <v>108</v>
      </c>
      <c r="B7" s="9" t="s">
        <v>109</v>
      </c>
      <c r="C7" s="10">
        <v>1</v>
      </c>
      <c r="D7" s="10">
        <f>E6</f>
        <v>7</v>
      </c>
      <c r="E7" s="10">
        <f>D7+C7</f>
        <v>8</v>
      </c>
    </row>
    <row r="8" spans="1:5" x14ac:dyDescent="0.35">
      <c r="A8" s="9" t="s">
        <v>110</v>
      </c>
      <c r="B8" s="9" t="s">
        <v>111</v>
      </c>
      <c r="C8" s="9" t="s">
        <v>112</v>
      </c>
      <c r="D8" s="10">
        <f>E7</f>
        <v>8</v>
      </c>
      <c r="E8" s="9" t="s">
        <v>113</v>
      </c>
    </row>
    <row r="10" spans="1:5" x14ac:dyDescent="0.35">
      <c r="A10" s="1" t="s">
        <v>114</v>
      </c>
      <c r="B10" s="1"/>
      <c r="C10" s="1"/>
      <c r="D10" s="14"/>
      <c r="E10" s="26">
        <f>E7</f>
        <v>8</v>
      </c>
    </row>
  </sheetData>
  <mergeCells count="2">
    <mergeCell ref="A1:E1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Synthèse</vt:lpstr>
      <vt:lpstr>MO_CAPEX</vt:lpstr>
      <vt:lpstr>MO_Exploitation</vt:lpstr>
      <vt:lpstr>CAPEX</vt:lpstr>
      <vt:lpstr>OPEX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Alpha Bah</cp:lastModifiedBy>
  <cp:revision>0</cp:revision>
  <dcterms:created xsi:type="dcterms:W3CDTF">2026-07-24T17:05:23Z</dcterms:created>
  <dcterms:modified xsi:type="dcterms:W3CDTF">2026-07-24T17:09:53Z</dcterms:modified>
  <dc:language>en-US</dc:language>
</cp:coreProperties>
</file>