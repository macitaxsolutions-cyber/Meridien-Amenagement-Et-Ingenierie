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MO_CAPEX" sheetId="2" state="visible" r:id="rId4"/>
    <sheet name="MO_Exploitation" sheetId="3" state="visible" r:id="rId5"/>
    <sheet name="CAPEX" sheetId="4" state="visible" r:id="rId6"/>
    <sheet name="OPEX" sheetId="5" state="visible" r:id="rId7"/>
    <sheet name="Plann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Hypothèse demandée par le porteur de projet : chaque volet de coût (CAPEX et OPEX) est multiplié par ce facteur pour se prémunir contre les dépenses imprévues. Modifier cette cellule recalcule automatiquement tout le chiffrage.</t>
        </r>
      </text>
    </comment>
    <comment ref="B19" authorId="0">
      <text>
        <r>
          <rPr>
            <sz val="10"/>
            <rFont val="Arial"/>
            <family val="2"/>
          </rPr>
          <t xml:space="preserve">Source : note conceptuelle, section 12.3 (scénario central ~9,6 milliards GNF/an, ~8 750 GNF/USD)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Déplacements, logistique enquête, rapports</t>
        </r>
      </text>
    </comment>
    <comment ref="C5" authorId="0">
      <text>
        <r>
          <rPr>
            <sz val="10"/>
            <rFont val="Arial"/>
            <family val="2"/>
          </rPr>
          <t xml:space="preserve">Structures, fondations, câblage, alimentation électrique (2-3 portiques)</t>
        </r>
      </text>
    </comment>
    <comment ref="C6" authorId="0">
      <text>
        <r>
          <rPr>
            <sz val="10"/>
            <rFont val="Arial"/>
            <family val="2"/>
          </rPr>
          <t xml:space="preserve">Caméras ANPR/LPR, lecteurs RFID, capteurs de comptage, barrières automatiques (2-3 voies)</t>
        </r>
      </text>
    </comment>
    <comment ref="C7" authorId="0">
      <text>
        <r>
          <rPr>
            <sz val="10"/>
            <rFont val="Arial"/>
            <family val="2"/>
          </rPr>
          <t xml:space="preserve">Licences, infrastructure serveur (moteur de facturation simplifié, sans module de relance/impayés)</t>
        </r>
      </text>
    </comment>
    <comment ref="C8" authorId="0">
      <text>
        <r>
          <rPr>
            <sz val="10"/>
            <rFont val="Arial"/>
            <family val="2"/>
          </rPr>
          <t xml:space="preserve">Frais API, tests passerelle Orange Money / Mobile Money</t>
        </r>
      </text>
    </comment>
    <comment ref="C9" authorId="0">
      <text>
        <r>
          <rPr>
            <sz val="10"/>
            <rFont val="Arial"/>
            <family val="2"/>
          </rPr>
          <t xml:space="preserve">Vidéosurveillance, tableau de bord, poste de contrôle</t>
        </r>
      </text>
    </comment>
    <comment ref="C10" authorId="0">
      <text>
        <r>
          <rPr>
            <sz val="10"/>
            <rFont val="Arial"/>
            <family val="2"/>
          </rPr>
          <t xml:space="preserve">Transport, logistique de déploiement</t>
        </r>
      </text>
    </comment>
    <comment ref="E12" authorId="0">
      <text>
        <r>
          <rPr>
            <sz val="10"/>
            <rFont val="Arial"/>
            <family val="2"/>
          </rPr>
          <t xml:space="preserve">Taux de contingence — hypothèse modifiable (10-15% usuel), appliqué en plus du facteur de majoration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Entretien portiques, caméras, capteurs, barrières automatiques (~10-15% CAPEX matériel)</t>
        </r>
      </text>
    </comment>
    <comment ref="C5" authorId="0">
      <text>
        <r>
          <rPr>
            <sz val="10"/>
            <rFont val="Arial"/>
            <family val="2"/>
          </rPr>
          <t xml:space="preserve">Renouvellement licences back-office simplifié et mises à jour</t>
        </r>
      </text>
    </comment>
    <comment ref="C6" authorId="0">
      <text>
        <r>
          <rPr>
            <sz val="10"/>
            <rFont val="Arial"/>
            <family val="2"/>
          </rPr>
          <t xml:space="preserve">Bande passante, hébergement cloud/serveurs</t>
        </r>
      </text>
    </comment>
    <comment ref="C7" authorId="0">
      <text>
        <r>
          <rPr>
            <sz val="10"/>
            <rFont val="Arial"/>
            <family val="2"/>
          </rPr>
          <t xml:space="preserve">Voir feuille MO_Exploitation</t>
        </r>
      </text>
    </comment>
  </commentList>
</comments>
</file>

<file path=xl/sharedStrings.xml><?xml version="1.0" encoding="utf-8"?>
<sst xmlns="http://schemas.openxmlformats.org/spreadsheetml/2006/main" count="146" uniqueCount="121">
  <si>
    <t xml:space="preserve">Synthèse du chiffrage — Péage échangeur Pont 8 Novembre</t>
  </si>
  <si>
    <t xml:space="preserve">Hypothèse de majoration</t>
  </si>
  <si>
    <t xml:space="preserve">Facteur de majoration retenu (couverture des imprévus)</t>
  </si>
  <si>
    <t xml:space="preserve">Appliqué à chaque poste du CAPEX et de l'OPEX (voir feuilles CAPEX / OPEX)</t>
  </si>
  <si>
    <t xml:space="preserve">Durée et effectifs</t>
  </si>
  <si>
    <t xml:space="preserve">Durée totale de mise en œuvre</t>
  </si>
  <si>
    <t xml:space="preserve">Effectif mobilisé — mise en œuvre (cumulé)</t>
  </si>
  <si>
    <t xml:space="preserve">Effectif permanent — exploitation</t>
  </si>
  <si>
    <t xml:space="preserve">Coûts (majorés)</t>
  </si>
  <si>
    <t xml:space="preserve">CAPEX total majoré</t>
  </si>
  <si>
    <t xml:space="preserve">  dont sous-total de base (avant majoration)</t>
  </si>
  <si>
    <t xml:space="preserve">Pour référence — voir feuille CAPEX</t>
  </si>
  <si>
    <t xml:space="preserve">OPEX annuel total majoré</t>
  </si>
  <si>
    <t xml:space="preserve">Pour référence — voir feuille OPEX</t>
  </si>
  <si>
    <t xml:space="preserve">Référence recettes et retour sur investissement</t>
  </si>
  <si>
    <t xml:space="preserve">Recettes annuelles estimées (scénario central)</t>
  </si>
  <si>
    <t xml:space="preserve">Recettes nettes annuelles (recettes - OPEX majoré)</t>
  </si>
  <si>
    <t xml:space="preserve">Retour sur investissement (mois)</t>
  </si>
  <si>
    <t xml:space="preserve">Main d'œuvre qualifiée — phase de mise en œuvre (coût de base, hors majoration)</t>
  </si>
  <si>
    <t xml:space="preserve">Chiffres bleus = hypothèses modifiables. Taux de base, avant application du facteur de majoration (voir feuille Synthèse).</t>
  </si>
  <si>
    <t xml:space="preserve">Catégorie CAPEX</t>
  </si>
  <si>
    <t xml:space="preserve">Poste</t>
  </si>
  <si>
    <t xml:space="preserve">Profil / qualification requise</t>
  </si>
  <si>
    <t xml:space="preserve">Effectif</t>
  </si>
  <si>
    <t xml:space="preserve">Taux mensuel (USD)</t>
  </si>
  <si>
    <t xml:space="preserve">Durée (mois)</t>
  </si>
  <si>
    <t xml:space="preserve">Coût total (USD)</t>
  </si>
  <si>
    <t xml:space="preserve">Études et ingénierie</t>
  </si>
  <si>
    <t xml:space="preserve">Chef de projet / ingénieur génie civil</t>
  </si>
  <si>
    <t xml:space="preserve">Bac+5 génie civil, 10 ans d'expérience min.</t>
  </si>
  <si>
    <t xml:space="preserve">Ingénieur trafic</t>
  </si>
  <si>
    <t xml:space="preserve">Bac+5 ingénierie des transports</t>
  </si>
  <si>
    <t xml:space="preserve">Enquêteurs terrain (comptage O-D)</t>
  </si>
  <si>
    <t xml:space="preserve">Techniciens formés au comptage de trafic</t>
  </si>
  <si>
    <t xml:space="preserve">Juriste / expert institutionnel</t>
  </si>
  <si>
    <t xml:space="preserve">Bac+5 droit public, consultant</t>
  </si>
  <si>
    <t xml:space="preserve">Génie civil et portiques</t>
  </si>
  <si>
    <t xml:space="preserve">Chef de chantier</t>
  </si>
  <si>
    <t xml:space="preserve">Bac+3 génie civil, 8 ans d'expérience</t>
  </si>
  <si>
    <t xml:space="preserve">Ouvriers qualifiés (maçons, électriciens)</t>
  </si>
  <si>
    <t xml:space="preserve">CAP/BEP + expérience chantier</t>
  </si>
  <si>
    <t xml:space="preserve">Ingénieur électrique</t>
  </si>
  <si>
    <t xml:space="preserve">Bac+5 électrotechnique</t>
  </si>
  <si>
    <t xml:space="preserve">Back-office et plateforme logicielle</t>
  </si>
  <si>
    <t xml:space="preserve">Architecte logiciel</t>
  </si>
  <si>
    <t xml:space="preserve">Bac+5 informatique, 8 ans d'expérience</t>
  </si>
  <si>
    <t xml:space="preserve">Ingénieur systèmes ANPR/RFID</t>
  </si>
  <si>
    <t xml:space="preserve">Spécialiste, 10 ans d'expérience</t>
  </si>
  <si>
    <t xml:space="preserve">Développeurs back-end</t>
  </si>
  <si>
    <t xml:space="preserve">Bac+4/5 informatique</t>
  </si>
  <si>
    <t xml:space="preserve">Ingénieur automatisme (barrières et contrôle d'accès)</t>
  </si>
  <si>
    <t xml:space="preserve">Bac+5 automatisme/électromécanique</t>
  </si>
  <si>
    <t xml:space="preserve">Intégration paiement mobile</t>
  </si>
  <si>
    <t xml:space="preserve">Développeur intégration (Orange Money / Mobile Money)</t>
  </si>
  <si>
    <t xml:space="preserve">Installation et mise en service</t>
  </si>
  <si>
    <t xml:space="preserve">Techniciens installation équipement</t>
  </si>
  <si>
    <t xml:space="preserve">Bac+2 électronique / télécoms</t>
  </si>
  <si>
    <t xml:space="preserve">Techniciens installation barrières automatiques</t>
  </si>
  <si>
    <t xml:space="preserve">Bac+2 électromécanique</t>
  </si>
  <si>
    <t xml:space="preserve">Formateurs / accompagnement usagers</t>
  </si>
  <si>
    <t xml:space="preserve">Bac+3, expérience formation</t>
  </si>
  <si>
    <t xml:space="preserve">TOTAL MAIN D'ŒUVRE — MISE EN ŒUVRE (base)</t>
  </si>
  <si>
    <t xml:space="preserve">Main d'œuvre qualifiée — exploitation continue (coût de base, hors majoration)</t>
  </si>
  <si>
    <t xml:space="preserve">Coût mensuel (USD)</t>
  </si>
  <si>
    <t xml:space="preserve">Coût annuel (USD)</t>
  </si>
  <si>
    <t xml:space="preserve">Superviseur trafic (responsable tableau de bord)</t>
  </si>
  <si>
    <t xml:space="preserve">Bac+4/5, expérience gestion de trafic urbain</t>
  </si>
  <si>
    <t xml:space="preserve">Agents de péage (voies occasionnelles, encaissement)</t>
  </si>
  <si>
    <t xml:space="preserve">Formation encaissement / relation usagers</t>
  </si>
  <si>
    <t xml:space="preserve">Agents de contrôle / interception (postés en aval)</t>
  </si>
  <si>
    <t xml:space="preserve">Formation spécifique contrôle routier</t>
  </si>
  <si>
    <t xml:space="preserve">Agents support usagers / centre d'appel</t>
  </si>
  <si>
    <t xml:space="preserve">Bac+2, relation client</t>
  </si>
  <si>
    <t xml:space="preserve">Techniciens maintenance équipements et barrières</t>
  </si>
  <si>
    <t xml:space="preserve">Bac+2 électronique / électromécanique</t>
  </si>
  <si>
    <t xml:space="preserve">Comptable / gestion recouvrement</t>
  </si>
  <si>
    <t xml:space="preserve">Bac+3 comptabilité</t>
  </si>
  <si>
    <t xml:space="preserve">TOTAL MAIN D'ŒUVRE — EXPLOITATION (base)</t>
  </si>
  <si>
    <t xml:space="preserve">Investissement initial détaillé (CAPEX) — majoré pour couvrir les imprévus</t>
  </si>
  <si>
    <t xml:space="preserve">Main d'œuvre (USD)</t>
  </si>
  <si>
    <t xml:space="preserve">Matériel / équipement / autres (USD)</t>
  </si>
  <si>
    <t xml:space="preserve">Sous-total de base (USD)</t>
  </si>
  <si>
    <t xml:space="preserve">Facteur de majoration</t>
  </si>
  <si>
    <t xml:space="preserve">Total majoré (USD)</t>
  </si>
  <si>
    <t xml:space="preserve">Équipements de détection et de contrôle d'accès</t>
  </si>
  <si>
    <t xml:space="preserve">Centre de supervision</t>
  </si>
  <si>
    <t xml:space="preserve">Sous-total majoré avant contingence</t>
  </si>
  <si>
    <t xml:space="preserve">Contingence additionnelle (aléas de mise en œuvre)</t>
  </si>
  <si>
    <t xml:space="preserve">TOTAL CAPEX (majoré + contingence)</t>
  </si>
  <si>
    <t xml:space="preserve">Pour mémoire — sous-total de base avant majoration</t>
  </si>
  <si>
    <t xml:space="preserve">Coûts d'exploitation annuels détaillés (OPEX) — majorés pour couvrir les imprévus</t>
  </si>
  <si>
    <t xml:space="preserve">Main d'œuvre (USD/an)</t>
  </si>
  <si>
    <t xml:space="preserve">Autres coûts (USD/an)</t>
  </si>
  <si>
    <t xml:space="preserve">Sous-total de base (USD/an)</t>
  </si>
  <si>
    <t xml:space="preserve">Total majoré (USD/an)</t>
  </si>
  <si>
    <t xml:space="preserve">Maintenance des équipements</t>
  </si>
  <si>
    <t xml:space="preserve">Licences logicielles</t>
  </si>
  <si>
    <t xml:space="preserve">Connectivité et hébergement</t>
  </si>
  <si>
    <t xml:space="preserve">Personnel d'exploitation</t>
  </si>
  <si>
    <t xml:space="preserve">TOTAL OPEX majoré (hors commissions de paiement)</t>
  </si>
  <si>
    <t xml:space="preserve">Frais de paiement mobile (commissions de transaction)</t>
  </si>
  <si>
    <t xml:space="preserve">Variable — ~1 à 2% des recettes encaissées</t>
  </si>
  <si>
    <t xml:space="preserve">Durée du projet — phasage de mise en œuvre</t>
  </si>
  <si>
    <t xml:space="preserve">Phase</t>
  </si>
  <si>
    <t xml:space="preserve">Contenu</t>
  </si>
  <si>
    <t xml:space="preserve">Durée retenue (mois)</t>
  </si>
  <si>
    <t xml:space="preserve">Début (mois)</t>
  </si>
  <si>
    <t xml:space="preserve">Fin (mois)</t>
  </si>
  <si>
    <t xml:space="preserve">1. Études préalables</t>
  </si>
  <si>
    <t xml:space="preserve">Comptages de trafic, enquête origine-destination, étude d'impact, cadrage juridique</t>
  </si>
  <si>
    <t xml:space="preserve">2. Conception détaillée</t>
  </si>
  <si>
    <t xml:space="preserve">Dimensionnement des portiques, choix des équipements, architecture logicielle</t>
  </si>
  <si>
    <t xml:space="preserve">3. Phase pilote</t>
  </si>
  <si>
    <t xml:space="preserve">Installation du dispositif, tests techniques, exploitation gratuite</t>
  </si>
  <si>
    <t xml:space="preserve">4. Mise en service tarifée</t>
  </si>
  <si>
    <t xml:space="preserve">Introduction progressive de la tarification, période de grâce</t>
  </si>
  <si>
    <t xml:space="preserve">5. Exploitation et extension</t>
  </si>
  <si>
    <t xml:space="preserve">Montée en charge, évaluation, étude d'extension</t>
  </si>
  <si>
    <t xml:space="preserve">Continu</t>
  </si>
  <si>
    <t xml:space="preserve">—</t>
  </si>
  <si>
    <t xml:space="preserve">DURÉE TOTALE DE MISE EN ŒUVRE (avant exploitation)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</si>
</sst>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\x"/>
    <numFmt numFmtId="166" formatCode="0.0&quot; mois&quot;"/>
    <numFmt numFmtId="167" formatCode="0&quot; personnes&quot;"/>
    <numFmt numFmtId="168" formatCode="\$#,##0;&quot;($&quot;#,##0\);\-"/>
    <numFmt numFmtId="169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F5E5A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AECE7"/>
        <bgColor rgb="FFF1EFE8"/>
      </patternFill>
    </fill>
    <fill>
      <patternFill patternType="solid">
        <fgColor rgb="FFE1F5EE"/>
        <bgColor rgb="FFF1EFE8"/>
      </patternFill>
    </fill>
    <fill>
      <patternFill patternType="solid">
        <fgColor rgb="FF0F6E56"/>
        <bgColor rgb="FF008080"/>
      </patternFill>
    </fill>
    <fill>
      <patternFill patternType="solid">
        <fgColor rgb="FFF1EFE8"/>
        <bgColor rgb="FFFAEC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B4B2A9"/>
      <rgbColor rgb="FF808080"/>
      <rgbColor rgb="FF9999FF"/>
      <rgbColor rgb="FF993366"/>
      <rgbColor rgb="FFF1EFE8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AEC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/>
      <c r="C3" s="2"/>
    </row>
    <row r="4" customFormat="false" ht="15" hidden="false" customHeight="false" outlineLevel="0" collapsed="false">
      <c r="A4" s="3" t="s">
        <v>2</v>
      </c>
      <c r="B4" s="4" t="n">
        <v>3</v>
      </c>
    </row>
    <row r="5" customFormat="false" ht="15" hidden="false" customHeight="false" outlineLevel="0" collapsed="false">
      <c r="A5" s="5" t="s">
        <v>3</v>
      </c>
    </row>
    <row r="7" customFormat="false" ht="15" hidden="false" customHeight="false" outlineLevel="0" collapsed="false">
      <c r="A7" s="6" t="s">
        <v>4</v>
      </c>
      <c r="B7" s="6"/>
      <c r="C7" s="6"/>
    </row>
    <row r="8" customFormat="false" ht="15" hidden="false" customHeight="false" outlineLevel="0" collapsed="false">
      <c r="A8" s="7" t="s">
        <v>5</v>
      </c>
      <c r="B8" s="8" t="n">
        <f aca="false">Planning!E10</f>
        <v>8</v>
      </c>
    </row>
    <row r="9" customFormat="false" ht="15" hidden="false" customHeight="false" outlineLevel="0" collapsed="false">
      <c r="A9" s="7" t="s">
        <v>6</v>
      </c>
      <c r="B9" s="9" t="n">
        <f aca="false">SUM(MO_CAPEX!D4:D18)</f>
        <v>28</v>
      </c>
    </row>
    <row r="10" customFormat="false" ht="15" hidden="false" customHeight="false" outlineLevel="0" collapsed="false">
      <c r="A10" s="7" t="s">
        <v>7</v>
      </c>
      <c r="B10" s="9" t="n">
        <f aca="false">SUM(MO_Exploitation!C4:C9)</f>
        <v>19</v>
      </c>
    </row>
    <row r="12" customFormat="false" ht="15" hidden="false" customHeight="false" outlineLevel="0" collapsed="false">
      <c r="A12" s="6" t="s">
        <v>8</v>
      </c>
      <c r="B12" s="6"/>
      <c r="C12" s="6"/>
    </row>
    <row r="13" customFormat="false" ht="15" hidden="false" customHeight="false" outlineLevel="0" collapsed="false">
      <c r="A13" s="7" t="s">
        <v>9</v>
      </c>
      <c r="B13" s="10" t="n">
        <f aca="false">CAPEX!F13</f>
        <v>1674960</v>
      </c>
    </row>
    <row r="14" customFormat="false" ht="15" hidden="false" customHeight="false" outlineLevel="0" collapsed="false">
      <c r="A14" s="7" t="s">
        <v>10</v>
      </c>
      <c r="B14" s="10" t="n">
        <f aca="false">CAPEX!D15</f>
        <v>498500</v>
      </c>
      <c r="C14" s="5" t="s">
        <v>11</v>
      </c>
    </row>
    <row r="15" customFormat="false" ht="15" hidden="false" customHeight="false" outlineLevel="0" collapsed="false">
      <c r="A15" s="7" t="s">
        <v>12</v>
      </c>
      <c r="B15" s="10" t="n">
        <f aca="false">OPEX!F8</f>
        <v>616200</v>
      </c>
    </row>
    <row r="16" customFormat="false" ht="15" hidden="false" customHeight="false" outlineLevel="0" collapsed="false">
      <c r="A16" s="7" t="s">
        <v>10</v>
      </c>
      <c r="B16" s="10" t="n">
        <f aca="false">OPEX!D9</f>
        <v>205400</v>
      </c>
      <c r="C16" s="5" t="s">
        <v>13</v>
      </c>
    </row>
    <row r="18" customFormat="false" ht="15" hidden="false" customHeight="false" outlineLevel="0" collapsed="false">
      <c r="A18" s="6" t="s">
        <v>14</v>
      </c>
      <c r="B18" s="6"/>
      <c r="C18" s="6"/>
    </row>
    <row r="19" customFormat="false" ht="15" hidden="false" customHeight="false" outlineLevel="0" collapsed="false">
      <c r="A19" s="7" t="s">
        <v>15</v>
      </c>
      <c r="B19" s="10" t="n">
        <v>1100000</v>
      </c>
    </row>
    <row r="20" customFormat="false" ht="15" hidden="false" customHeight="false" outlineLevel="0" collapsed="false">
      <c r="A20" s="7" t="s">
        <v>16</v>
      </c>
      <c r="B20" s="10" t="n">
        <f aca="false">B19-B15</f>
        <v>483800</v>
      </c>
    </row>
    <row r="21" customFormat="false" ht="15" hidden="false" customHeight="false" outlineLevel="0" collapsed="false">
      <c r="A21" s="7" t="s">
        <v>17</v>
      </c>
      <c r="B21" s="8" t="n">
        <f aca="false">IF(B20&lt;=0,"n/d",B13/(B20/12))</f>
        <v>41.5451012815213</v>
      </c>
    </row>
  </sheetData>
  <mergeCells count="5">
    <mergeCell ref="A1:C1"/>
    <mergeCell ref="A3:C3"/>
    <mergeCell ref="A7:C7"/>
    <mergeCell ref="A12:C12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6.15" hidden="false" customHeight="false" outlineLevel="0" collapsed="false">
      <c r="A1" s="11" t="s">
        <v>18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A2" s="5" t="s">
        <v>19</v>
      </c>
    </row>
    <row r="3" customFormat="false" ht="26.85" hidden="false" customHeight="false" outlineLevel="0" collapsed="false">
      <c r="A3" s="12" t="s">
        <v>20</v>
      </c>
      <c r="B3" s="12" t="s">
        <v>21</v>
      </c>
      <c r="C3" s="12" t="s">
        <v>22</v>
      </c>
      <c r="D3" s="12" t="s">
        <v>23</v>
      </c>
      <c r="E3" s="12" t="s">
        <v>24</v>
      </c>
      <c r="F3" s="12" t="s">
        <v>25</v>
      </c>
      <c r="G3" s="12" t="s">
        <v>26</v>
      </c>
    </row>
    <row r="4" customFormat="false" ht="15" hidden="false" customHeight="false" outlineLevel="0" collapsed="false">
      <c r="A4" s="7" t="s">
        <v>27</v>
      </c>
      <c r="B4" s="7" t="s">
        <v>28</v>
      </c>
      <c r="C4" s="7" t="s">
        <v>29</v>
      </c>
      <c r="D4" s="7" t="n">
        <v>1</v>
      </c>
      <c r="E4" s="10" t="n">
        <v>3000</v>
      </c>
      <c r="F4" s="8" t="n">
        <v>2.5</v>
      </c>
      <c r="G4" s="10" t="n">
        <f aca="false">D4*E4*F4</f>
        <v>7500</v>
      </c>
    </row>
    <row r="5" customFormat="false" ht="15" hidden="false" customHeight="false" outlineLevel="0" collapsed="false">
      <c r="A5" s="7" t="s">
        <v>27</v>
      </c>
      <c r="B5" s="7" t="s">
        <v>30</v>
      </c>
      <c r="C5" s="7" t="s">
        <v>31</v>
      </c>
      <c r="D5" s="7" t="n">
        <v>1</v>
      </c>
      <c r="E5" s="10" t="n">
        <v>2200</v>
      </c>
      <c r="F5" s="8" t="n">
        <v>2.5</v>
      </c>
      <c r="G5" s="10" t="n">
        <f aca="false">D5*E5*F5</f>
        <v>5500</v>
      </c>
    </row>
    <row r="6" customFormat="false" ht="15" hidden="false" customHeight="false" outlineLevel="0" collapsed="false">
      <c r="A6" s="7" t="s">
        <v>27</v>
      </c>
      <c r="B6" s="7" t="s">
        <v>32</v>
      </c>
      <c r="C6" s="7" t="s">
        <v>33</v>
      </c>
      <c r="D6" s="7" t="n">
        <v>4</v>
      </c>
      <c r="E6" s="10" t="n">
        <v>400</v>
      </c>
      <c r="F6" s="8" t="n">
        <v>1</v>
      </c>
      <c r="G6" s="10" t="n">
        <f aca="false">D6*E6*F6</f>
        <v>1600</v>
      </c>
    </row>
    <row r="7" customFormat="false" ht="15" hidden="false" customHeight="false" outlineLevel="0" collapsed="false">
      <c r="A7" s="7" t="s">
        <v>27</v>
      </c>
      <c r="B7" s="7" t="s">
        <v>34</v>
      </c>
      <c r="C7" s="7" t="s">
        <v>35</v>
      </c>
      <c r="D7" s="7" t="n">
        <v>1</v>
      </c>
      <c r="E7" s="10" t="n">
        <v>2500</v>
      </c>
      <c r="F7" s="8" t="n">
        <v>1</v>
      </c>
      <c r="G7" s="10" t="n">
        <f aca="false">D7*E7*F7</f>
        <v>2500</v>
      </c>
    </row>
    <row r="8" customFormat="false" ht="15" hidden="false" customHeight="false" outlineLevel="0" collapsed="false">
      <c r="A8" s="7" t="s">
        <v>36</v>
      </c>
      <c r="B8" s="7" t="s">
        <v>37</v>
      </c>
      <c r="C8" s="7" t="s">
        <v>38</v>
      </c>
      <c r="D8" s="7" t="n">
        <v>1</v>
      </c>
      <c r="E8" s="10" t="n">
        <v>1500</v>
      </c>
      <c r="F8" s="8" t="n">
        <v>2.5</v>
      </c>
      <c r="G8" s="10" t="n">
        <f aca="false">D8*E8*F8</f>
        <v>3750</v>
      </c>
    </row>
    <row r="9" customFormat="false" ht="15" hidden="false" customHeight="false" outlineLevel="0" collapsed="false">
      <c r="A9" s="7" t="s">
        <v>36</v>
      </c>
      <c r="B9" s="7" t="s">
        <v>39</v>
      </c>
      <c r="C9" s="7" t="s">
        <v>40</v>
      </c>
      <c r="D9" s="7" t="n">
        <v>6</v>
      </c>
      <c r="E9" s="10" t="n">
        <v>500</v>
      </c>
      <c r="F9" s="8" t="n">
        <v>2</v>
      </c>
      <c r="G9" s="10" t="n">
        <f aca="false">D9*E9*F9</f>
        <v>6000</v>
      </c>
    </row>
    <row r="10" customFormat="false" ht="15" hidden="false" customHeight="false" outlineLevel="0" collapsed="false">
      <c r="A10" s="7" t="s">
        <v>36</v>
      </c>
      <c r="B10" s="7" t="s">
        <v>41</v>
      </c>
      <c r="C10" s="7" t="s">
        <v>42</v>
      </c>
      <c r="D10" s="7" t="n">
        <v>1</v>
      </c>
      <c r="E10" s="10" t="n">
        <v>2000</v>
      </c>
      <c r="F10" s="8" t="n">
        <v>1</v>
      </c>
      <c r="G10" s="10" t="n">
        <f aca="false">D10*E10*F10</f>
        <v>2000</v>
      </c>
    </row>
    <row r="11" customFormat="false" ht="15" hidden="false" customHeight="false" outlineLevel="0" collapsed="false">
      <c r="A11" s="7" t="s">
        <v>43</v>
      </c>
      <c r="B11" s="7" t="s">
        <v>44</v>
      </c>
      <c r="C11" s="7" t="s">
        <v>45</v>
      </c>
      <c r="D11" s="7" t="n">
        <v>1</v>
      </c>
      <c r="E11" s="10" t="n">
        <v>2500</v>
      </c>
      <c r="F11" s="8" t="n">
        <v>2</v>
      </c>
      <c r="G11" s="10" t="n">
        <f aca="false">D11*E11*F11</f>
        <v>5000</v>
      </c>
    </row>
    <row r="12" customFormat="false" ht="15" hidden="false" customHeight="false" outlineLevel="0" collapsed="false">
      <c r="A12" s="7" t="s">
        <v>43</v>
      </c>
      <c r="B12" s="7" t="s">
        <v>46</v>
      </c>
      <c r="C12" s="7" t="s">
        <v>47</v>
      </c>
      <c r="D12" s="7" t="n">
        <v>1</v>
      </c>
      <c r="E12" s="10" t="n">
        <v>4000</v>
      </c>
      <c r="F12" s="8" t="n">
        <v>1.5</v>
      </c>
      <c r="G12" s="10" t="n">
        <f aca="false">D12*E12*F12</f>
        <v>6000</v>
      </c>
    </row>
    <row r="13" customFormat="false" ht="15" hidden="false" customHeight="false" outlineLevel="0" collapsed="false">
      <c r="A13" s="7" t="s">
        <v>43</v>
      </c>
      <c r="B13" s="7" t="s">
        <v>48</v>
      </c>
      <c r="C13" s="7" t="s">
        <v>49</v>
      </c>
      <c r="D13" s="7" t="n">
        <v>2</v>
      </c>
      <c r="E13" s="10" t="n">
        <v>1800</v>
      </c>
      <c r="F13" s="8" t="n">
        <v>2.5</v>
      </c>
      <c r="G13" s="10" t="n">
        <f aca="false">D13*E13*F13</f>
        <v>9000</v>
      </c>
    </row>
    <row r="14" customFormat="false" ht="15" hidden="false" customHeight="false" outlineLevel="0" collapsed="false">
      <c r="A14" s="7" t="s">
        <v>43</v>
      </c>
      <c r="B14" s="7" t="s">
        <v>50</v>
      </c>
      <c r="C14" s="7" t="s">
        <v>51</v>
      </c>
      <c r="D14" s="7" t="n">
        <v>1</v>
      </c>
      <c r="E14" s="10" t="n">
        <v>2200</v>
      </c>
      <c r="F14" s="8" t="n">
        <v>1.5</v>
      </c>
      <c r="G14" s="10" t="n">
        <f aca="false">D14*E14*F14</f>
        <v>3300</v>
      </c>
    </row>
    <row r="15" customFormat="false" ht="15" hidden="false" customHeight="false" outlineLevel="0" collapsed="false">
      <c r="A15" s="7" t="s">
        <v>52</v>
      </c>
      <c r="B15" s="7" t="s">
        <v>53</v>
      </c>
      <c r="C15" s="7" t="s">
        <v>49</v>
      </c>
      <c r="D15" s="7" t="n">
        <v>1</v>
      </c>
      <c r="E15" s="10" t="n">
        <v>1800</v>
      </c>
      <c r="F15" s="8" t="n">
        <v>1</v>
      </c>
      <c r="G15" s="10" t="n">
        <f aca="false">D15*E15*F15</f>
        <v>1800</v>
      </c>
    </row>
    <row r="16" customFormat="false" ht="15" hidden="false" customHeight="false" outlineLevel="0" collapsed="false">
      <c r="A16" s="7" t="s">
        <v>54</v>
      </c>
      <c r="B16" s="7" t="s">
        <v>55</v>
      </c>
      <c r="C16" s="7" t="s">
        <v>56</v>
      </c>
      <c r="D16" s="7" t="n">
        <v>3</v>
      </c>
      <c r="E16" s="10" t="n">
        <v>700</v>
      </c>
      <c r="F16" s="8" t="n">
        <v>1.5</v>
      </c>
      <c r="G16" s="10" t="n">
        <f aca="false">D16*E16*F16</f>
        <v>3150</v>
      </c>
    </row>
    <row r="17" customFormat="false" ht="15" hidden="false" customHeight="false" outlineLevel="0" collapsed="false">
      <c r="A17" s="7" t="s">
        <v>54</v>
      </c>
      <c r="B17" s="7" t="s">
        <v>57</v>
      </c>
      <c r="C17" s="7" t="s">
        <v>58</v>
      </c>
      <c r="D17" s="7" t="n">
        <v>2</v>
      </c>
      <c r="E17" s="10" t="n">
        <v>800</v>
      </c>
      <c r="F17" s="8" t="n">
        <v>1.5</v>
      </c>
      <c r="G17" s="10" t="n">
        <f aca="false">D17*E17*F17</f>
        <v>2400</v>
      </c>
    </row>
    <row r="18" customFormat="false" ht="15" hidden="false" customHeight="false" outlineLevel="0" collapsed="false">
      <c r="A18" s="7" t="s">
        <v>54</v>
      </c>
      <c r="B18" s="7" t="s">
        <v>59</v>
      </c>
      <c r="C18" s="7" t="s">
        <v>60</v>
      </c>
      <c r="D18" s="7" t="n">
        <v>2</v>
      </c>
      <c r="E18" s="10" t="n">
        <v>500</v>
      </c>
      <c r="F18" s="8" t="n">
        <v>1</v>
      </c>
      <c r="G18" s="10" t="n">
        <f aca="false">D18*E18*F18</f>
        <v>1000</v>
      </c>
    </row>
    <row r="19" customFormat="false" ht="15" hidden="false" customHeight="false" outlineLevel="0" collapsed="false">
      <c r="A19" s="13" t="s">
        <v>61</v>
      </c>
      <c r="B19" s="13"/>
      <c r="C19" s="13"/>
      <c r="D19" s="13"/>
      <c r="E19" s="13"/>
      <c r="F19" s="13"/>
      <c r="G19" s="14" t="n">
        <f aca="false">SUM(G4:G18)</f>
        <v>60500</v>
      </c>
    </row>
  </sheetData>
  <mergeCells count="2">
    <mergeCell ref="A1:G1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0"/>
    <col collapsed="false" customWidth="true" hidden="false" outlineLevel="0" max="6" min="4" style="0" width="16"/>
  </cols>
  <sheetData>
    <row r="1" customFormat="false" ht="16.15" hidden="false" customHeight="false" outlineLevel="0" collapsed="false">
      <c r="A1" s="11" t="s">
        <v>62</v>
      </c>
      <c r="B1" s="11"/>
      <c r="C1" s="11"/>
      <c r="D1" s="11"/>
      <c r="E1" s="11"/>
      <c r="F1" s="11"/>
    </row>
    <row r="3" customFormat="false" ht="26.85" hidden="false" customHeight="false" outlineLevel="0" collapsed="false">
      <c r="A3" s="12" t="s">
        <v>21</v>
      </c>
      <c r="B3" s="12" t="s">
        <v>22</v>
      </c>
      <c r="C3" s="12" t="s">
        <v>23</v>
      </c>
      <c r="D3" s="12" t="s">
        <v>24</v>
      </c>
      <c r="E3" s="12" t="s">
        <v>63</v>
      </c>
      <c r="F3" s="12" t="s">
        <v>64</v>
      </c>
    </row>
    <row r="4" customFormat="false" ht="15" hidden="false" customHeight="false" outlineLevel="0" collapsed="false">
      <c r="A4" s="7" t="s">
        <v>65</v>
      </c>
      <c r="B4" s="7" t="s">
        <v>66</v>
      </c>
      <c r="C4" s="7" t="n">
        <v>1</v>
      </c>
      <c r="D4" s="10" t="n">
        <v>1200</v>
      </c>
      <c r="E4" s="10" t="n">
        <f aca="false">C4*D4</f>
        <v>1200</v>
      </c>
      <c r="F4" s="10" t="n">
        <f aca="false">E4*12</f>
        <v>14400</v>
      </c>
    </row>
    <row r="5" customFormat="false" ht="15" hidden="false" customHeight="false" outlineLevel="0" collapsed="false">
      <c r="A5" s="7" t="s">
        <v>67</v>
      </c>
      <c r="B5" s="7" t="s">
        <v>68</v>
      </c>
      <c r="C5" s="7" t="n">
        <v>6</v>
      </c>
      <c r="D5" s="10" t="n">
        <v>400</v>
      </c>
      <c r="E5" s="10" t="n">
        <f aca="false">C5*D5</f>
        <v>2400</v>
      </c>
      <c r="F5" s="10" t="n">
        <f aca="false">E5*12</f>
        <v>28800</v>
      </c>
    </row>
    <row r="6" customFormat="false" ht="15" hidden="false" customHeight="false" outlineLevel="0" collapsed="false">
      <c r="A6" s="7" t="s">
        <v>69</v>
      </c>
      <c r="B6" s="7" t="s">
        <v>70</v>
      </c>
      <c r="C6" s="7" t="n">
        <v>6</v>
      </c>
      <c r="D6" s="10" t="n">
        <v>400</v>
      </c>
      <c r="E6" s="10" t="n">
        <f aca="false">C6*D6</f>
        <v>2400</v>
      </c>
      <c r="F6" s="10" t="n">
        <f aca="false">E6*12</f>
        <v>28800</v>
      </c>
    </row>
    <row r="7" customFormat="false" ht="15" hidden="false" customHeight="false" outlineLevel="0" collapsed="false">
      <c r="A7" s="7" t="s">
        <v>71</v>
      </c>
      <c r="B7" s="7" t="s">
        <v>72</v>
      </c>
      <c r="C7" s="7" t="n">
        <v>3</v>
      </c>
      <c r="D7" s="10" t="n">
        <v>350</v>
      </c>
      <c r="E7" s="10" t="n">
        <f aca="false">C7*D7</f>
        <v>1050</v>
      </c>
      <c r="F7" s="10" t="n">
        <f aca="false">E7*12</f>
        <v>12600</v>
      </c>
    </row>
    <row r="8" customFormat="false" ht="15" hidden="false" customHeight="false" outlineLevel="0" collapsed="false">
      <c r="A8" s="7" t="s">
        <v>73</v>
      </c>
      <c r="B8" s="7" t="s">
        <v>74</v>
      </c>
      <c r="C8" s="7" t="n">
        <v>2</v>
      </c>
      <c r="D8" s="10" t="n">
        <v>600</v>
      </c>
      <c r="E8" s="10" t="n">
        <f aca="false">C8*D8</f>
        <v>1200</v>
      </c>
      <c r="F8" s="10" t="n">
        <f aca="false">E8*12</f>
        <v>14400</v>
      </c>
    </row>
    <row r="9" customFormat="false" ht="15" hidden="false" customHeight="false" outlineLevel="0" collapsed="false">
      <c r="A9" s="7" t="s">
        <v>75</v>
      </c>
      <c r="B9" s="7" t="s">
        <v>76</v>
      </c>
      <c r="C9" s="7" t="n">
        <v>1</v>
      </c>
      <c r="D9" s="10" t="n">
        <v>700</v>
      </c>
      <c r="E9" s="10" t="n">
        <f aca="false">C9*D9</f>
        <v>700</v>
      </c>
      <c r="F9" s="10" t="n">
        <f aca="false">E9*12</f>
        <v>8400</v>
      </c>
    </row>
    <row r="10" customFormat="false" ht="15" hidden="false" customHeight="false" outlineLevel="0" collapsed="false">
      <c r="A10" s="13" t="s">
        <v>77</v>
      </c>
      <c r="B10" s="13"/>
      <c r="C10" s="13"/>
      <c r="D10" s="13"/>
      <c r="E10" s="14" t="n">
        <f aca="false">SUM(E4:E9)</f>
        <v>8950</v>
      </c>
      <c r="F10" s="14" t="n">
        <f aca="false">SUM(F4:F9)</f>
        <v>107400</v>
      </c>
    </row>
  </sheetData>
  <mergeCells count="2">
    <mergeCell ref="A1:F1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1" t="s">
        <v>78</v>
      </c>
      <c r="B1" s="11"/>
      <c r="C1" s="11"/>
      <c r="D1" s="11"/>
      <c r="E1" s="11"/>
      <c r="F1" s="11"/>
    </row>
    <row r="3" customFormat="false" ht="26.85" hidden="false" customHeight="false" outlineLevel="0" collapsed="false">
      <c r="A3" s="12" t="s">
        <v>21</v>
      </c>
      <c r="B3" s="12" t="s">
        <v>79</v>
      </c>
      <c r="C3" s="12" t="s">
        <v>80</v>
      </c>
      <c r="D3" s="12" t="s">
        <v>81</v>
      </c>
      <c r="E3" s="12" t="s">
        <v>82</v>
      </c>
      <c r="F3" s="12" t="s">
        <v>83</v>
      </c>
    </row>
    <row r="4" customFormat="false" ht="15" hidden="false" customHeight="false" outlineLevel="0" collapsed="false">
      <c r="A4" s="7" t="s">
        <v>27</v>
      </c>
      <c r="B4" s="10" t="n">
        <f aca="false">SUMIF(MO_CAPEX!$A$4:$A$18,"Études et ingénierie",MO_CAPEX!$G$4:$G$18)</f>
        <v>17100</v>
      </c>
      <c r="C4" s="10" t="n">
        <v>10000</v>
      </c>
      <c r="D4" s="10" t="n">
        <f aca="false">B4+C4</f>
        <v>27100</v>
      </c>
      <c r="E4" s="15" t="n">
        <f aca="false">Synthèse!$B$4</f>
        <v>3</v>
      </c>
      <c r="F4" s="16" t="n">
        <f aca="false">D4*E4</f>
        <v>81300</v>
      </c>
    </row>
    <row r="5" customFormat="false" ht="15" hidden="false" customHeight="false" outlineLevel="0" collapsed="false">
      <c r="A5" s="7" t="s">
        <v>36</v>
      </c>
      <c r="B5" s="10" t="n">
        <f aca="false">SUMIF(MO_CAPEX!$A$4:$A$18,"Génie civil et portiques",MO_CAPEX!$G$4:$G$18)</f>
        <v>11750</v>
      </c>
      <c r="C5" s="10" t="n">
        <v>180000</v>
      </c>
      <c r="D5" s="10" t="n">
        <f aca="false">B5+C5</f>
        <v>191750</v>
      </c>
      <c r="E5" s="15" t="n">
        <f aca="false">Synthèse!$B$4</f>
        <v>3</v>
      </c>
      <c r="F5" s="16" t="n">
        <f aca="false">D5*E5</f>
        <v>575250</v>
      </c>
    </row>
    <row r="6" customFormat="false" ht="15" hidden="false" customHeight="false" outlineLevel="0" collapsed="false">
      <c r="A6" s="7" t="s">
        <v>84</v>
      </c>
      <c r="B6" s="10" t="n">
        <v>0</v>
      </c>
      <c r="C6" s="10" t="n">
        <v>155000</v>
      </c>
      <c r="D6" s="10" t="n">
        <f aca="false">B6+C6</f>
        <v>155000</v>
      </c>
      <c r="E6" s="15" t="n">
        <f aca="false">Synthèse!$B$4</f>
        <v>3</v>
      </c>
      <c r="F6" s="16" t="n">
        <f aca="false">D6*E6</f>
        <v>465000</v>
      </c>
    </row>
    <row r="7" customFormat="false" ht="15" hidden="false" customHeight="false" outlineLevel="0" collapsed="false">
      <c r="A7" s="7" t="s">
        <v>43</v>
      </c>
      <c r="B7" s="10" t="n">
        <f aca="false">SUMIF(MO_CAPEX!$A$4:$A$18,"Back-office et plateforme logicielle",MO_CAPEX!$G$4:$G$18)</f>
        <v>23300</v>
      </c>
      <c r="C7" s="10" t="n">
        <v>18000</v>
      </c>
      <c r="D7" s="10" t="n">
        <f aca="false">B7+C7</f>
        <v>41300</v>
      </c>
      <c r="E7" s="15" t="n">
        <f aca="false">Synthèse!$B$4</f>
        <v>3</v>
      </c>
      <c r="F7" s="16" t="n">
        <f aca="false">D7*E7</f>
        <v>123900</v>
      </c>
    </row>
    <row r="8" customFormat="false" ht="15" hidden="false" customHeight="false" outlineLevel="0" collapsed="false">
      <c r="A8" s="7" t="s">
        <v>52</v>
      </c>
      <c r="B8" s="10" t="n">
        <f aca="false">SUMIF(MO_CAPEX!$A$4:$A$18,"Intégration paiement mobile",MO_CAPEX!$G$4:$G$18)</f>
        <v>1800</v>
      </c>
      <c r="C8" s="10" t="n">
        <v>12000</v>
      </c>
      <c r="D8" s="10" t="n">
        <f aca="false">B8+C8</f>
        <v>13800</v>
      </c>
      <c r="E8" s="15" t="n">
        <f aca="false">Synthèse!$B$4</f>
        <v>3</v>
      </c>
      <c r="F8" s="16" t="n">
        <f aca="false">D8*E8</f>
        <v>41400</v>
      </c>
    </row>
    <row r="9" customFormat="false" ht="15" hidden="false" customHeight="false" outlineLevel="0" collapsed="false">
      <c r="A9" s="7" t="s">
        <v>85</v>
      </c>
      <c r="B9" s="10" t="n">
        <v>0</v>
      </c>
      <c r="C9" s="10" t="n">
        <v>55000</v>
      </c>
      <c r="D9" s="10" t="n">
        <f aca="false">B9+C9</f>
        <v>55000</v>
      </c>
      <c r="E9" s="15" t="n">
        <f aca="false">Synthèse!$B$4</f>
        <v>3</v>
      </c>
      <c r="F9" s="16" t="n">
        <f aca="false">D9*E9</f>
        <v>165000</v>
      </c>
    </row>
    <row r="10" customFormat="false" ht="15" hidden="false" customHeight="false" outlineLevel="0" collapsed="false">
      <c r="A10" s="7" t="s">
        <v>54</v>
      </c>
      <c r="B10" s="10" t="n">
        <f aca="false">SUMIF(MO_CAPEX!$A$4:$A$18,"Installation et mise en service",MO_CAPEX!$G$4:$G$18)</f>
        <v>6550</v>
      </c>
      <c r="C10" s="10" t="n">
        <v>8000</v>
      </c>
      <c r="D10" s="10" t="n">
        <f aca="false">B10+C10</f>
        <v>14550</v>
      </c>
      <c r="E10" s="15" t="n">
        <f aca="false">Synthèse!$B$4</f>
        <v>3</v>
      </c>
      <c r="F10" s="16" t="n">
        <f aca="false">D10*E10</f>
        <v>43650</v>
      </c>
    </row>
    <row r="11" customFormat="false" ht="15" hidden="false" customHeight="false" outlineLevel="0" collapsed="false">
      <c r="A11" s="13" t="s">
        <v>86</v>
      </c>
      <c r="B11" s="13"/>
      <c r="C11" s="13"/>
      <c r="D11" s="13"/>
      <c r="E11" s="13"/>
      <c r="F11" s="14" t="n">
        <f aca="false">SUM(F4:F10)</f>
        <v>1495500</v>
      </c>
    </row>
    <row r="12" customFormat="false" ht="15" hidden="false" customHeight="false" outlineLevel="0" collapsed="false">
      <c r="A12" s="7" t="s">
        <v>87</v>
      </c>
      <c r="B12" s="7"/>
      <c r="C12" s="7"/>
      <c r="D12" s="7"/>
      <c r="E12" s="17" t="n">
        <v>0.12</v>
      </c>
      <c r="F12" s="10" t="n">
        <f aca="false">F11*E12</f>
        <v>179460</v>
      </c>
    </row>
    <row r="13" customFormat="false" ht="15" hidden="false" customHeight="false" outlineLevel="0" collapsed="false">
      <c r="A13" s="18" t="s">
        <v>88</v>
      </c>
      <c r="B13" s="19"/>
      <c r="C13" s="19"/>
      <c r="D13" s="19"/>
      <c r="E13" s="19"/>
      <c r="F13" s="20" t="n">
        <f aca="false">F11+F12</f>
        <v>1674960</v>
      </c>
    </row>
    <row r="15" customFormat="false" ht="15" hidden="false" customHeight="false" outlineLevel="0" collapsed="false">
      <c r="A15" s="21" t="s">
        <v>89</v>
      </c>
      <c r="D15" s="22" t="n">
        <f aca="false">SUM(D4:D10)</f>
        <v>498500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1" t="s">
        <v>90</v>
      </c>
      <c r="B1" s="11"/>
      <c r="C1" s="11"/>
      <c r="D1" s="11"/>
      <c r="E1" s="11"/>
      <c r="F1" s="11"/>
    </row>
    <row r="3" customFormat="false" ht="26.85" hidden="false" customHeight="false" outlineLevel="0" collapsed="false">
      <c r="A3" s="12" t="s">
        <v>21</v>
      </c>
      <c r="B3" s="12" t="s">
        <v>91</v>
      </c>
      <c r="C3" s="12" t="s">
        <v>92</v>
      </c>
      <c r="D3" s="12" t="s">
        <v>93</v>
      </c>
      <c r="E3" s="12" t="s">
        <v>82</v>
      </c>
      <c r="F3" s="12" t="s">
        <v>94</v>
      </c>
    </row>
    <row r="4" customFormat="false" ht="15" hidden="false" customHeight="false" outlineLevel="0" collapsed="false">
      <c r="A4" s="7" t="s">
        <v>95</v>
      </c>
      <c r="B4" s="10" t="n">
        <v>0</v>
      </c>
      <c r="C4" s="10" t="n">
        <v>65000</v>
      </c>
      <c r="D4" s="10" t="n">
        <f aca="false">B4+C4</f>
        <v>65000</v>
      </c>
      <c r="E4" s="15" t="n">
        <f aca="false">Synthèse!$B$4</f>
        <v>3</v>
      </c>
      <c r="F4" s="16" t="n">
        <f aca="false">D4*E4</f>
        <v>195000</v>
      </c>
    </row>
    <row r="5" customFormat="false" ht="15" hidden="false" customHeight="false" outlineLevel="0" collapsed="false">
      <c r="A5" s="7" t="s">
        <v>96</v>
      </c>
      <c r="B5" s="10" t="n">
        <v>0</v>
      </c>
      <c r="C5" s="10" t="n">
        <v>18000</v>
      </c>
      <c r="D5" s="10" t="n">
        <f aca="false">B5+C5</f>
        <v>18000</v>
      </c>
      <c r="E5" s="15" t="n">
        <f aca="false">Synthèse!$B$4</f>
        <v>3</v>
      </c>
      <c r="F5" s="16" t="n">
        <f aca="false">D5*E5</f>
        <v>54000</v>
      </c>
    </row>
    <row r="6" customFormat="false" ht="15" hidden="false" customHeight="false" outlineLevel="0" collapsed="false">
      <c r="A6" s="7" t="s">
        <v>97</v>
      </c>
      <c r="B6" s="10" t="n">
        <v>0</v>
      </c>
      <c r="C6" s="10" t="n">
        <v>15000</v>
      </c>
      <c r="D6" s="10" t="n">
        <f aca="false">B6+C6</f>
        <v>15000</v>
      </c>
      <c r="E6" s="15" t="n">
        <f aca="false">Synthèse!$B$4</f>
        <v>3</v>
      </c>
      <c r="F6" s="16" t="n">
        <f aca="false">D6*E6</f>
        <v>45000</v>
      </c>
    </row>
    <row r="7" customFormat="false" ht="15" hidden="false" customHeight="false" outlineLevel="0" collapsed="false">
      <c r="A7" s="7" t="s">
        <v>98</v>
      </c>
      <c r="B7" s="10" t="n">
        <f aca="false">MO_Exploitation!F10</f>
        <v>107400</v>
      </c>
      <c r="C7" s="10" t="n">
        <v>0</v>
      </c>
      <c r="D7" s="10" t="n">
        <f aca="false">B7+C7</f>
        <v>107400</v>
      </c>
      <c r="E7" s="15" t="n">
        <f aca="false">Synthèse!$B$4</f>
        <v>3</v>
      </c>
      <c r="F7" s="16" t="n">
        <f aca="false">D7*E7</f>
        <v>322200</v>
      </c>
    </row>
    <row r="8" customFormat="false" ht="15" hidden="false" customHeight="false" outlineLevel="0" collapsed="false">
      <c r="A8" s="18" t="s">
        <v>99</v>
      </c>
      <c r="B8" s="19"/>
      <c r="C8" s="19"/>
      <c r="D8" s="19"/>
      <c r="E8" s="19"/>
      <c r="F8" s="20" t="n">
        <f aca="false">SUM(F4:F7)</f>
        <v>616200</v>
      </c>
    </row>
    <row r="9" customFormat="false" ht="15" hidden="false" customHeight="false" outlineLevel="0" collapsed="false">
      <c r="A9" s="21" t="s">
        <v>89</v>
      </c>
      <c r="D9" s="22" t="n">
        <f aca="false">SUM(D4:D7)</f>
        <v>205400</v>
      </c>
    </row>
    <row r="11" customFormat="false" ht="15" hidden="false" customHeight="false" outlineLevel="0" collapsed="false">
      <c r="A11" s="23" t="s">
        <v>100</v>
      </c>
      <c r="F11" s="24" t="s">
        <v>101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5" min="4" style="0" width="12"/>
  </cols>
  <sheetData>
    <row r="1" customFormat="false" ht="16.15" hidden="false" customHeight="false" outlineLevel="0" collapsed="false">
      <c r="A1" s="11" t="s">
        <v>102</v>
      </c>
      <c r="B1" s="11"/>
      <c r="C1" s="11"/>
      <c r="D1" s="11"/>
      <c r="E1" s="11"/>
    </row>
    <row r="3" customFormat="false" ht="26.85" hidden="false" customHeight="false" outlineLevel="0" collapsed="false">
      <c r="A3" s="12" t="s">
        <v>103</v>
      </c>
      <c r="B3" s="12" t="s">
        <v>104</v>
      </c>
      <c r="C3" s="12" t="s">
        <v>105</v>
      </c>
      <c r="D3" s="12" t="s">
        <v>106</v>
      </c>
      <c r="E3" s="12" t="s">
        <v>107</v>
      </c>
    </row>
    <row r="4" customFormat="false" ht="15" hidden="false" customHeight="false" outlineLevel="0" collapsed="false">
      <c r="A4" s="7" t="s">
        <v>108</v>
      </c>
      <c r="B4" s="7" t="s">
        <v>109</v>
      </c>
      <c r="C4" s="8" t="n">
        <v>2.5</v>
      </c>
      <c r="D4" s="8" t="n">
        <v>0</v>
      </c>
      <c r="E4" s="8" t="n">
        <f aca="false">D4+C4</f>
        <v>2.5</v>
      </c>
    </row>
    <row r="5" customFormat="false" ht="15" hidden="false" customHeight="false" outlineLevel="0" collapsed="false">
      <c r="A5" s="7" t="s">
        <v>110</v>
      </c>
      <c r="B5" s="7" t="s">
        <v>111</v>
      </c>
      <c r="C5" s="8" t="n">
        <v>2</v>
      </c>
      <c r="D5" s="8" t="n">
        <f aca="false">E4</f>
        <v>2.5</v>
      </c>
      <c r="E5" s="8" t="n">
        <f aca="false">D5+C5</f>
        <v>4.5</v>
      </c>
    </row>
    <row r="6" customFormat="false" ht="15" hidden="false" customHeight="false" outlineLevel="0" collapsed="false">
      <c r="A6" s="7" t="s">
        <v>112</v>
      </c>
      <c r="B6" s="7" t="s">
        <v>113</v>
      </c>
      <c r="C6" s="8" t="n">
        <v>2.5</v>
      </c>
      <c r="D6" s="8" t="n">
        <f aca="false">E5</f>
        <v>4.5</v>
      </c>
      <c r="E6" s="8" t="n">
        <f aca="false">D6+C6</f>
        <v>7</v>
      </c>
    </row>
    <row r="7" customFormat="false" ht="15" hidden="false" customHeight="false" outlineLevel="0" collapsed="false">
      <c r="A7" s="7" t="s">
        <v>114</v>
      </c>
      <c r="B7" s="7" t="s">
        <v>115</v>
      </c>
      <c r="C7" s="8" t="n">
        <v>1</v>
      </c>
      <c r="D7" s="8" t="n">
        <f aca="false">E6</f>
        <v>7</v>
      </c>
      <c r="E7" s="8" t="n">
        <f aca="false">D7+C7</f>
        <v>8</v>
      </c>
    </row>
    <row r="8" customFormat="false" ht="15" hidden="false" customHeight="false" outlineLevel="0" collapsed="false">
      <c r="A8" s="7" t="s">
        <v>116</v>
      </c>
      <c r="B8" s="7" t="s">
        <v>117</v>
      </c>
      <c r="C8" s="7" t="s">
        <v>118</v>
      </c>
      <c r="D8" s="8" t="n">
        <f aca="false">E7</f>
        <v>8</v>
      </c>
      <c r="E8" s="7" t="s">
        <v>119</v>
      </c>
    </row>
    <row r="10" customFormat="false" ht="15" hidden="false" customHeight="false" outlineLevel="0" collapsed="false">
      <c r="A10" s="13" t="s">
        <v>120</v>
      </c>
      <c r="B10" s="13"/>
      <c r="C10" s="13"/>
      <c r="D10" s="13"/>
      <c r="E10" s="25" t="n">
        <f aca="false">E7</f>
        <v>8</v>
      </c>
    </row>
  </sheetData>
  <mergeCells count="2">
    <mergeCell ref="A1:E1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2026-07-24T18:23:34Z</dcterms:created>
  <dc:creator>openpyxl</dc:creator>
  <dc:description/>
  <dc:language>en-US</dc:language>
  <cp:lastModifiedBy/>
  <dcterms:modified xsi:type="dcterms:W3CDTF">2026-07-24T18:23:34Z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