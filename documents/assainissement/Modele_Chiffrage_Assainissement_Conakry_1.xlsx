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ypothèses" sheetId="1" state="visible" r:id="rId3"/>
    <sheet name="Données par zone" sheetId="2" state="visible" r:id="rId4"/>
    <sheet name="Phasage et coûts" sheetId="3" state="visible" r:id="rId5"/>
    <sheet name="Synthèse"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<sst xmlns="http://schemas.openxmlformats.org/spreadsheetml/2006/main" count="102" uniqueCount="93">
  <si>
    <t xml:space="preserve">MÉRIDIEN AMÉNAGEMENT &amp; INGÉNIERIE — Hypothèses de chiffrage</t>
  </si>
  <si>
    <t xml:space="preserve">Assainissement des eaux usées de Conakry — modèle de chiffrage (ordre de grandeur)</t>
  </si>
  <si>
    <t xml:space="preserve">Paramètre</t>
  </si>
  <si>
    <t xml:space="preserve">Valeur</t>
  </si>
  <si>
    <t xml:space="preserve">Unité</t>
  </si>
  <si>
    <t xml:space="preserve">Source / justification</t>
  </si>
  <si>
    <t xml:space="preserve">Dotation eaux usées domestiques</t>
  </si>
  <si>
    <t xml:space="preserve">L/hab/j</t>
  </si>
  <si>
    <t xml:space="preserve">Ratio usuel pour villes côtières d'Afrique de l'Ouest à faible pression d'eau (à ajuster selon étude de base SEG)</t>
  </si>
  <si>
    <t xml:space="preserve">Coefficient de retour à l'égout</t>
  </si>
  <si>
    <t xml:space="preserve">sans unité</t>
  </si>
  <si>
    <t xml:space="preserve">80% de l'eau distribuée revient en eaux usées (norme de dimensionnement courante)</t>
  </si>
  <si>
    <t xml:space="preserve">Coût réseau de collecte (petit diamètre)</t>
  </si>
  <si>
    <t xml:space="preserve">USD/km</t>
  </si>
  <si>
    <t xml:space="preserve">Coûts régionaux observés sur projets PEAG/PAC Guinée et Afrique de l'Ouest — HYPOTHÈSE À VALIDER</t>
  </si>
  <si>
    <t xml:space="preserve">Coût collecteur principal / intercepteur</t>
  </si>
  <si>
    <t xml:space="preserve">Ordre de grandeur projets d'assainissement urbains côtiers — HYPOTHÈSE À VALIDER</t>
  </si>
  <si>
    <t xml:space="preserve">Part intercepteurs dans le linéaire total</t>
  </si>
  <si>
    <t xml:space="preserve">Hypothèse de dimensionnement (15% du réseau en collecteurs principaux)</t>
  </si>
  <si>
    <t xml:space="preserve">Coût station de pompage (unitaire)</t>
  </si>
  <si>
    <t xml:space="preserve">USD/unité</t>
  </si>
  <si>
    <t xml:space="preserve">Ordre de grandeur station de refoulement de taille moyenne — HYPOTHÈSE À VALIDER</t>
  </si>
  <si>
    <t xml:space="preserve">Densité stations de pompage</t>
  </si>
  <si>
    <t xml:space="preserve">par 3 km²</t>
  </si>
  <si>
    <t xml:space="preserve">Hypothèse de maillage selon relief et bassins versants de Conakry</t>
  </si>
  <si>
    <t xml:space="preserve">Coût de traitement (boues activées)</t>
  </si>
  <si>
    <t xml:space="preserve">USD/m3/j installé</t>
  </si>
  <si>
    <t xml:space="preserve">Fourchette basse-moyenne pour STEP de grande capacité en Afrique de l'Ouest — HYPOTHÈSE À VALIDER</t>
  </si>
  <si>
    <t xml:space="preserve">Coût de traitement décentralisé (lagunage/filtres plantés)</t>
  </si>
  <si>
    <t xml:space="preserve">Solution basse-technicité pour zones périphériques à densité plus faible — HYPOTHÈSE À VALIDER</t>
  </si>
  <si>
    <t xml:space="preserve">Taux de change de référence</t>
  </si>
  <si>
    <t xml:space="preserve">GNF/USD</t>
  </si>
  <si>
    <t xml:space="preserve">Taux indicatif à la date de rédaction — à actualiser avant tout usage contractuel</t>
  </si>
  <si>
    <t xml:space="preserve">Provision imprévus techniques</t>
  </si>
  <si>
    <t xml:space="preserve">Provision standard sur travaux de génie civil et réseaux enterrés</t>
  </si>
  <si>
    <t xml:space="preserve">Études, contrôle, AMO, supervision</t>
  </si>
  <si>
    <t xml:space="preserve">Part usuelle des études et de la maîtrise d'œuvre (rôle envisagé pour Méridien)</t>
  </si>
  <si>
    <t xml:space="preserve">Toutes les cellules en bleu sur fond jaune pâle sont des hypothèses modifiables. Elles doivent être confirmées par une étude de base technique et un audit de prix avant tout engagement financier.</t>
  </si>
  <si>
    <t xml:space="preserve">Découpage de Conakry — population et dimensionnement par zone</t>
  </si>
  <si>
    <t xml:space="preserve">Les 5 zones historiques utilisent les derniers recensements disponibles par commune (RGPH-3 2014, RGPH-4 2025 pour Matam). La ventilation détaillée du RGPH-4 (2025) par les 8 communes récentes n'étant pas encore publiée à la date de rédaction, la zone périphérique est estimée par solde par rapport au total région (3 407 327 hab., RGPH-4, fév. 2026) — À ACTUALISER dès publication officielle.</t>
  </si>
  <si>
    <t xml:space="preserve">Zone / Commune(s)</t>
  </si>
  <si>
    <t xml:space="preserve">Population (source citée)</t>
  </si>
  <si>
    <t xml:space="preserve">Année réf.</t>
  </si>
  <si>
    <t xml:space="preserve">Superficie (km²) [estim.]</t>
  </si>
  <si>
    <t xml:space="preserve">Taux de couverture actuel [estim.]</t>
  </si>
  <si>
    <t xml:space="preserve">Taux de couverture cible</t>
  </si>
  <si>
    <t xml:space="preserve">Population additionnelle à raccorder</t>
  </si>
  <si>
    <t xml:space="preserve">Linéaire réseau nécessaire (km)</t>
  </si>
  <si>
    <t xml:space="preserve">Stations de pompage nécessaires</t>
  </si>
  <si>
    <t xml:space="preserve">Débit eaux usées à traiter (m3/j)</t>
  </si>
  <si>
    <t xml:space="preserve">Kaloum (centre-ville, port, administration)</t>
  </si>
  <si>
    <t xml:space="preserve">2014 (RGPH-3)</t>
  </si>
  <si>
    <t xml:space="preserve">Dixinn</t>
  </si>
  <si>
    <t xml:space="preserve">Matam</t>
  </si>
  <si>
    <t xml:space="preserve">2025 (RGPH-4)</t>
  </si>
  <si>
    <t xml:space="preserve">Matoto (yc. Gbessia, Tombolia)</t>
  </si>
  <si>
    <t xml:space="preserve">Ratoma (yc. Sonfonia, Lambanyi)</t>
  </si>
  <si>
    <t xml:space="preserve">Zone périphérique (Sonfonia, Kagbelen, Sanoyah, Manéah, Kassa et extensions — solde)</t>
  </si>
  <si>
    <t xml:space="preserve">Solde / RGPH-4 (2025)</t>
  </si>
  <si>
    <t xml:space="preserve">TOTAL CONAKRY</t>
  </si>
  <si>
    <t xml:space="preserve">Phasage proposé et estimation des coûts</t>
  </si>
  <si>
    <t xml:space="preserve">Estimation d'ordre de grandeur (classe C — préfaisabilité). À affiner par une étude technico-économique détaillée avant toute décision d'investissement.</t>
  </si>
  <si>
    <t xml:space="preserve">Phase</t>
  </si>
  <si>
    <t xml:space="preserve">Zones concernées</t>
  </si>
  <si>
    <t xml:space="preserve">Horizon</t>
  </si>
  <si>
    <t xml:space="preserve">Linéaire réseau (km)</t>
  </si>
  <si>
    <t xml:space="preserve">Stations de pompage</t>
  </si>
  <si>
    <t xml:space="preserve">Capacité de traitement (m3/j)</t>
  </si>
  <si>
    <t xml:space="preserve">Coût travaux (USD)</t>
  </si>
  <si>
    <t xml:space="preserve">Coût total avec études + imprévus (USD)</t>
  </si>
  <si>
    <t xml:space="preserve">Phase 1 — Urgence centre-ville</t>
  </si>
  <si>
    <t xml:space="preserve">Kaloum, Matam, Dixinn</t>
  </si>
  <si>
    <t xml:space="preserve">0-3 ans</t>
  </si>
  <si>
    <t xml:space="preserve">Phase 2 — Consolidation zones denses</t>
  </si>
  <si>
    <t xml:space="preserve">Matoto, Ratoma</t>
  </si>
  <si>
    <t xml:space="preserve">3-7 ans</t>
  </si>
  <si>
    <t xml:space="preserve">Phase 3 — Extension périphérique</t>
  </si>
  <si>
    <t xml:space="preserve">Zone périphérique (nouvelles communes)</t>
  </si>
  <si>
    <t xml:space="preserve">7-12 ans</t>
  </si>
  <si>
    <t xml:space="preserve">TOTAL PROJET</t>
  </si>
  <si>
    <t xml:space="preserve">Équivalent en GNF (au taux de référence ci-dessus)</t>
  </si>
  <si>
    <t xml:space="preserve">Comparaison de référence : le Projet de Modernisation et d'Extension de la STEP de Conakry (PSTEP), financé par la BID et le Royaume du Maroc, mobilise à lui seul 21,66 M USD (2023-2027) pour la seule composante station d'épuration existante — hors extension du réseau de collecte à l'échelle de la ville.</t>
  </si>
  <si>
    <t xml:space="preserve">Synthèse exécutive — chiffrage</t>
  </si>
  <si>
    <t xml:space="preserve">Vue consolidée pour présentation aux partenaires techniques et financiers</t>
  </si>
  <si>
    <t xml:space="preserve">Population totale de Conakry (RGPH-4, 2025)</t>
  </si>
  <si>
    <t xml:space="preserve">Population additionnelle à raccorder au réseau</t>
  </si>
  <si>
    <t xml:space="preserve">Linéaire de réseau total à construire (km)</t>
  </si>
  <si>
    <t xml:space="preserve">Stations de pompage à construire</t>
  </si>
  <si>
    <t xml:space="preserve">Capacité de traitement additionnelle (m3/j)</t>
  </si>
  <si>
    <t xml:space="preserve">Coût total du projet, études et imprévus inclus (USD)</t>
  </si>
  <si>
    <t xml:space="preserve">Coût total du projet (GNF, équivalent)</t>
  </si>
  <si>
    <t xml:space="preserve">Répartition du coût total par phase</t>
  </si>
  <si>
    <t xml:space="preserve">Coût (USD)</t>
  </si>
</sst>
</file>

<file path=xl/styles.xml><?xml version="1.0" encoding="utf-8"?>
<styleSheet xmlns="http://schemas.openxmlformats.org/spreadsheetml/2006/main">
  <numFmts count="5">
    <numFmt numFmtId="164" formatCode="General"/>
    <numFmt numFmtId="165" formatCode="#,##0"/>
    <numFmt numFmtId="166" formatCode="0.0%"/>
    <numFmt numFmtId="167" formatCode="0%"/>
    <numFmt numFmtId="168" formatCode="#,##0.0"/>
  </numFmts>
  <fonts count="17">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555555"/>
      <name val="Arial"/>
      <family val="0"/>
      <charset val="1"/>
    </font>
    <font>
      <b val="true"/>
      <sz val="11"/>
      <color rgb="FFFFFFFF"/>
      <name val="Arial"/>
      <family val="0"/>
      <charset val="1"/>
    </font>
    <font>
      <sz val="10"/>
      <color rgb="FF000000"/>
      <name val="Arial"/>
      <family val="0"/>
      <charset val="1"/>
    </font>
    <font>
      <sz val="10"/>
      <color rgb="FF0000FF"/>
      <name val="Arial"/>
      <family val="0"/>
      <charset val="1"/>
    </font>
    <font>
      <i val="true"/>
      <sz val="9"/>
      <color rgb="FF555555"/>
      <name val="Arial"/>
      <family val="0"/>
      <charset val="1"/>
    </font>
    <font>
      <i val="true"/>
      <sz val="9"/>
      <color rgb="FF990000"/>
      <name val="Arial"/>
      <family val="0"/>
      <charset val="1"/>
    </font>
    <font>
      <b val="true"/>
      <sz val="10"/>
      <name val="Arial"/>
      <family val="0"/>
      <charset val="1"/>
    </font>
    <font>
      <b val="true"/>
      <sz val="10"/>
      <color rgb="FF12264D"/>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2"/>
      <color rgb="FF12264D"/>
      <name val="Arial"/>
      <family val="0"/>
      <charset val="1"/>
    </font>
  </fonts>
  <fills count="6">
    <fill>
      <patternFill patternType="none"/>
    </fill>
    <fill>
      <patternFill patternType="gray125"/>
    </fill>
    <fill>
      <patternFill patternType="solid">
        <fgColor rgb="FF12264D"/>
        <bgColor rgb="FF003300"/>
      </patternFill>
    </fill>
    <fill>
      <patternFill patternType="solid">
        <fgColor rgb="FFFFFDE7"/>
        <bgColor rgb="FFFFFFFF"/>
      </patternFill>
    </fill>
    <fill>
      <patternFill patternType="solid">
        <fgColor rgb="FFC9A227"/>
        <bgColor rgb="FF9BBB59"/>
      </patternFill>
    </fill>
    <fill>
      <patternFill patternType="solid">
        <fgColor rgb="FFEDEFF3"/>
        <bgColor rgb="FFFFFDE7"/>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12" fillId="4" borderId="1" xfId="0" applyFont="true" applyBorder="true" applyAlignment="false" applyProtection="false">
      <alignment horizontal="general" vertical="bottom" textRotation="0" wrapText="false" indent="0" shrinkToFit="false"/>
      <protection locked="true" hidden="false"/>
    </xf>
    <xf numFmtId="165" fontId="12"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8" fontId="12" fillId="4"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5" borderId="1" xfId="0" applyFont="true" applyBorder="true" applyAlignment="false" applyProtection="false">
      <alignment horizontal="general" vertical="bottom" textRotation="0" wrapText="false" indent="0" shrinkToFit="false"/>
      <protection locked="true" hidden="false"/>
    </xf>
    <xf numFmtId="165" fontId="16" fillId="5" borderId="1" xfId="0" applyFont="true" applyBorder="true" applyAlignment="false" applyProtection="false">
      <alignment horizontal="general" vertical="bottom" textRotation="0" wrapText="false" indent="0" shrinkToFit="false"/>
      <protection locked="true" hidden="false"/>
    </xf>
    <xf numFmtId="168" fontId="16" fillId="5"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90000"/>
      <rgbColor rgb="FF008000"/>
      <rgbColor rgb="FF000080"/>
      <rgbColor rgb="FF808000"/>
      <rgbColor rgb="FF800080"/>
      <rgbColor rgb="FF008080"/>
      <rgbColor rgb="FFB0B0B0"/>
      <rgbColor rgb="FF878787"/>
      <rgbColor rgb="FF9999FF"/>
      <rgbColor rgb="FFC0504D"/>
      <rgbColor rgb="FFFFFDE7"/>
      <rgbColor rgb="FFEDEF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BBB59"/>
      <rgbColor rgb="FFFFCC00"/>
      <rgbColor rgb="FFC9A227"/>
      <rgbColor rgb="FFFF6600"/>
      <rgbColor rgb="FF4F81BD"/>
      <rgbColor rgb="FF969696"/>
      <rgbColor rgb="FF12264D"/>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Coût total estimé par phase (USD)</a:t>
            </a:r>
          </a:p>
        </c:rich>
      </c:tx>
      <c:overlay val="0"/>
      <c:spPr>
        <a:noFill/>
        <a:ln w="0">
          <a:noFill/>
        </a:ln>
      </c:spPr>
    </c:title>
    <c:autoTitleDeleted val="0"/>
    <c:plotArea>
      <c:barChart>
        <c:barDir val="col"/>
        <c:grouping val="clustered"/>
        <c:varyColors val="0"/>
        <c:ser>
          <c:idx val="0"/>
          <c:order val="0"/>
          <c:tx>
            <c:strRef>
              <c:f>'Phasage et coûts'!H5</c:f>
              <c:strCache>
                <c:ptCount val="1"/>
                <c:pt idx="0">
                  <c:v>Coût total avec études + imprévus (USD)</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'Phasage et coûts'!$A$6:$A$8</c:f>
              <c:strCache>
                <c:ptCount val="3"/>
                <c:pt idx="0">
                  <c:v>Phase 1 — Urgence centre-ville</c:v>
                </c:pt>
                <c:pt idx="1">
                  <c:v>Phase 2 — Consolidation zones denses</c:v>
                </c:pt>
                <c:pt idx="2">
                  <c:v>Phase 3 — Extension périphérique</c:v>
                </c:pt>
              </c:strCache>
            </c:strRef>
          </c:cat>
          <c:val>
            <c:numRef>
              <c:f>'Phasage et coûts'!$H$6:$H$8</c:f>
              <c:numCache>
                <c:formatCode>#,##0</c:formatCode>
                <c:ptCount val="3"/>
                <c:pt idx="0">
                  <c:v>220925409.375</c:v>
                </c:pt>
                <c:pt idx="1">
                  <c:v>798682214.41</c:v>
                </c:pt>
                <c:pt idx="2">
                  <c:v>595407111.125</c:v>
                </c:pt>
              </c:numCache>
            </c:numRef>
          </c:val>
        </c:ser>
        <c:gapWidth val="150"/>
        <c:overlap val="0"/>
        <c:axId val="10440380"/>
        <c:axId val="92485284"/>
      </c:barChart>
      <c:catAx>
        <c:axId val="1044038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Phase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485284"/>
        <c:crosses val="autoZero"/>
        <c:auto val="1"/>
        <c:lblAlgn val="ctr"/>
        <c:lblOffset val="100"/>
        <c:noMultiLvlLbl val="0"/>
      </c:catAx>
      <c:valAx>
        <c:axId val="9248528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44038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Répartition du coût par phase</a:t>
            </a:r>
          </a:p>
        </c:rich>
      </c:tx>
      <c:overlay val="0"/>
      <c:spPr>
        <a:noFill/>
        <a:ln w="0">
          <a:noFill/>
        </a:ln>
      </c:spPr>
    </c:title>
    <c:autoTitleDeleted val="0"/>
    <c:plotArea>
      <c:pieChart>
        <c:varyColors val="1"/>
        <c:ser>
          <c:idx val="0"/>
          <c:order val="0"/>
          <c:tx>
            <c:strRef>
              <c:f>Synthèse!B14</c:f>
              <c:strCache>
                <c:ptCount val="1"/>
                <c:pt idx="0">
                  <c:v>Coût (USD)</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Synthèse!$A$15:$A$17</c:f>
              <c:strCache>
                <c:ptCount val="3"/>
                <c:pt idx="0">
                  <c:v>Phase 1 — Urgence centre-ville</c:v>
                </c:pt>
                <c:pt idx="1">
                  <c:v>Phase 2 — Consolidation zones denses</c:v>
                </c:pt>
                <c:pt idx="2">
                  <c:v>Phase 3 — Extension périphérique</c:v>
                </c:pt>
              </c:strCache>
            </c:strRef>
          </c:cat>
          <c:val>
            <c:numRef>
              <c:f>Synthèse!$B$15:$B$17</c:f>
              <c:numCache>
                <c:formatCode>#,##0</c:formatCode>
                <c:ptCount val="3"/>
                <c:pt idx="0">
                  <c:v>220925409.375</c:v>
                </c:pt>
                <c:pt idx="1">
                  <c:v>798682214.41</c:v>
                </c:pt>
                <c:pt idx="2">
                  <c:v>595407111.125</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15</xdr:row>
      <xdr:rowOff>0</xdr:rowOff>
    </xdr:from>
    <xdr:to>
      <xdr:col>3</xdr:col>
      <xdr:colOff>966600</xdr:colOff>
      <xdr:row>32</xdr:row>
      <xdr:rowOff>1080</xdr:rowOff>
    </xdr:to>
    <xdr:graphicFrame>
      <xdr:nvGraphicFramePr>
        <xdr:cNvPr id="0" name="Chart 1"/>
        <xdr:cNvGraphicFramePr/>
      </xdr:nvGraphicFramePr>
      <xdr:xfrm>
        <a:off x="0" y="4143240"/>
        <a:ext cx="57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13</xdr:row>
      <xdr:rowOff>0</xdr:rowOff>
    </xdr:from>
    <xdr:to>
      <xdr:col>10</xdr:col>
      <xdr:colOff>38880</xdr:colOff>
      <xdr:row>28</xdr:row>
      <xdr:rowOff>22320</xdr:rowOff>
    </xdr:to>
    <xdr:graphicFrame>
      <xdr:nvGraphicFramePr>
        <xdr:cNvPr id="1" name="Chart 1"/>
        <xdr:cNvGraphicFramePr/>
      </xdr:nvGraphicFramePr>
      <xdr:xfrm>
        <a:off x="5404320" y="3238560"/>
        <a:ext cx="43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4"/>
    <col collapsed="false" customWidth="true" hidden="false" outlineLevel="0" max="3" min="3" style="0" width="16"/>
    <col collapsed="false" customWidth="true" hidden="false" outlineLevel="0" max="4" min="4" style="0" width="55"/>
  </cols>
  <sheetData>
    <row r="1" customFormat="false" ht="27.75" hidden="false" customHeight="true" outlineLevel="0" collapsed="false">
      <c r="A1" s="1" t="s">
        <v>0</v>
      </c>
      <c r="B1" s="1"/>
      <c r="C1" s="1"/>
      <c r="D1" s="1"/>
      <c r="E1" s="1"/>
    </row>
    <row r="3" customFormat="false" ht="15" hidden="false" customHeight="false" outlineLevel="0" collapsed="false">
      <c r="A3" s="2" t="s">
        <v>1</v>
      </c>
      <c r="B3" s="2"/>
      <c r="C3" s="2"/>
      <c r="D3" s="2"/>
      <c r="E3" s="2"/>
    </row>
    <row r="5" customFormat="false" ht="18" hidden="false" customHeight="true" outlineLevel="0" collapsed="false">
      <c r="A5" s="3" t="s">
        <v>2</v>
      </c>
      <c r="B5" s="3" t="s">
        <v>3</v>
      </c>
      <c r="C5" s="3" t="s">
        <v>4</v>
      </c>
      <c r="D5" s="3" t="s">
        <v>5</v>
      </c>
    </row>
    <row r="6" customFormat="false" ht="27.75" hidden="false" customHeight="true" outlineLevel="0" collapsed="false">
      <c r="A6" s="4" t="s">
        <v>6</v>
      </c>
      <c r="B6" s="5" t="n">
        <v>80</v>
      </c>
      <c r="C6" s="4" t="s">
        <v>7</v>
      </c>
      <c r="D6" s="6" t="s">
        <v>8</v>
      </c>
    </row>
    <row r="7" customFormat="false" ht="27.75" hidden="false" customHeight="true" outlineLevel="0" collapsed="false">
      <c r="A7" s="4" t="s">
        <v>9</v>
      </c>
      <c r="B7" s="7" t="n">
        <v>0.8</v>
      </c>
      <c r="C7" s="4" t="s">
        <v>10</v>
      </c>
      <c r="D7" s="6" t="s">
        <v>11</v>
      </c>
    </row>
    <row r="8" customFormat="false" ht="27.75" hidden="false" customHeight="true" outlineLevel="0" collapsed="false">
      <c r="A8" s="4" t="s">
        <v>12</v>
      </c>
      <c r="B8" s="5" t="n">
        <v>180000</v>
      </c>
      <c r="C8" s="4" t="s">
        <v>13</v>
      </c>
      <c r="D8" s="6" t="s">
        <v>14</v>
      </c>
    </row>
    <row r="9" customFormat="false" ht="27.75" hidden="false" customHeight="true" outlineLevel="0" collapsed="false">
      <c r="A9" s="4" t="s">
        <v>15</v>
      </c>
      <c r="B9" s="5" t="n">
        <v>450000</v>
      </c>
      <c r="C9" s="4" t="s">
        <v>13</v>
      </c>
      <c r="D9" s="6" t="s">
        <v>16</v>
      </c>
    </row>
    <row r="10" customFormat="false" ht="27.75" hidden="false" customHeight="true" outlineLevel="0" collapsed="false">
      <c r="A10" s="4" t="s">
        <v>17</v>
      </c>
      <c r="B10" s="7" t="n">
        <v>0.15</v>
      </c>
      <c r="C10" s="4" t="s">
        <v>10</v>
      </c>
      <c r="D10" s="6" t="s">
        <v>18</v>
      </c>
    </row>
    <row r="11" customFormat="false" ht="27.75" hidden="false" customHeight="true" outlineLevel="0" collapsed="false">
      <c r="A11" s="4" t="s">
        <v>19</v>
      </c>
      <c r="B11" s="5" t="n">
        <v>350000</v>
      </c>
      <c r="C11" s="4" t="s">
        <v>20</v>
      </c>
      <c r="D11" s="6" t="s">
        <v>21</v>
      </c>
    </row>
    <row r="12" customFormat="false" ht="27.75" hidden="false" customHeight="true" outlineLevel="0" collapsed="false">
      <c r="A12" s="4" t="s">
        <v>22</v>
      </c>
      <c r="B12" s="5" t="n">
        <v>1</v>
      </c>
      <c r="C12" s="4" t="s">
        <v>23</v>
      </c>
      <c r="D12" s="6" t="s">
        <v>24</v>
      </c>
    </row>
    <row r="13" customFormat="false" ht="27.75" hidden="false" customHeight="true" outlineLevel="0" collapsed="false">
      <c r="A13" s="4" t="s">
        <v>25</v>
      </c>
      <c r="B13" s="5" t="n">
        <v>900</v>
      </c>
      <c r="C13" s="4" t="s">
        <v>26</v>
      </c>
      <c r="D13" s="6" t="s">
        <v>27</v>
      </c>
    </row>
    <row r="14" customFormat="false" ht="27.75" hidden="false" customHeight="true" outlineLevel="0" collapsed="false">
      <c r="A14" s="4" t="s">
        <v>28</v>
      </c>
      <c r="B14" s="5" t="n">
        <v>550</v>
      </c>
      <c r="C14" s="4" t="s">
        <v>26</v>
      </c>
      <c r="D14" s="6" t="s">
        <v>29</v>
      </c>
    </row>
    <row r="15" customFormat="false" ht="27.75" hidden="false" customHeight="true" outlineLevel="0" collapsed="false">
      <c r="A15" s="4" t="s">
        <v>30</v>
      </c>
      <c r="B15" s="5" t="n">
        <v>8620</v>
      </c>
      <c r="C15" s="4" t="s">
        <v>31</v>
      </c>
      <c r="D15" s="6" t="s">
        <v>32</v>
      </c>
    </row>
    <row r="16" customFormat="false" ht="27.75" hidden="false" customHeight="true" outlineLevel="0" collapsed="false">
      <c r="A16" s="4" t="s">
        <v>33</v>
      </c>
      <c r="B16" s="7" t="n">
        <v>0.15</v>
      </c>
      <c r="C16" s="4" t="s">
        <v>10</v>
      </c>
      <c r="D16" s="6" t="s">
        <v>34</v>
      </c>
    </row>
    <row r="17" customFormat="false" ht="27.75" hidden="false" customHeight="true" outlineLevel="0" collapsed="false">
      <c r="A17" s="4" t="s">
        <v>35</v>
      </c>
      <c r="B17" s="7" t="n">
        <v>0.1</v>
      </c>
      <c r="C17" s="4" t="s">
        <v>10</v>
      </c>
      <c r="D17" s="6" t="s">
        <v>36</v>
      </c>
    </row>
    <row r="19" customFormat="false" ht="27.75" hidden="false" customHeight="true" outlineLevel="0" collapsed="false">
      <c r="A19" s="8" t="s">
        <v>37</v>
      </c>
      <c r="B19" s="8"/>
      <c r="C19" s="8"/>
      <c r="D19" s="8"/>
    </row>
  </sheetData>
  <mergeCells count="3">
    <mergeCell ref="A1:E1"/>
    <mergeCell ref="A3:E3"/>
    <mergeCell ref="A19:D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6"/>
    <col collapsed="false" customWidth="true" hidden="false" outlineLevel="0" max="5" min="3" style="0" width="14"/>
    <col collapsed="false" customWidth="true" hidden="false" outlineLevel="0" max="6" min="6" style="0" width="12"/>
    <col collapsed="false" customWidth="true" hidden="false" outlineLevel="0" max="8" min="7" style="0" width="16"/>
    <col collapsed="false" customWidth="true" hidden="false" outlineLevel="0" max="9" min="9" style="0" width="14"/>
    <col collapsed="false" customWidth="true" hidden="false" outlineLevel="0" max="10" min="10" style="0" width="16"/>
  </cols>
  <sheetData>
    <row r="1" customFormat="false" ht="27.75" hidden="false" customHeight="true" outlineLevel="0" collapsed="false">
      <c r="A1" s="1" t="s">
        <v>38</v>
      </c>
      <c r="B1" s="1"/>
      <c r="C1" s="1"/>
      <c r="D1" s="1"/>
      <c r="E1" s="1"/>
      <c r="F1" s="1"/>
      <c r="G1" s="1"/>
      <c r="H1" s="1"/>
      <c r="I1" s="1"/>
      <c r="J1" s="1"/>
    </row>
    <row r="3" customFormat="false" ht="30" hidden="false" customHeight="true" outlineLevel="0" collapsed="false">
      <c r="A3" s="8" t="s">
        <v>39</v>
      </c>
      <c r="B3" s="8"/>
      <c r="C3" s="8"/>
      <c r="D3" s="8"/>
      <c r="E3" s="8"/>
      <c r="F3" s="8"/>
      <c r="G3" s="8"/>
      <c r="H3" s="8"/>
      <c r="I3" s="8"/>
      <c r="J3" s="8"/>
    </row>
    <row r="5" customFormat="false" ht="42" hidden="false" customHeight="true" outlineLevel="0" collapsed="false">
      <c r="A5" s="9" t="s">
        <v>40</v>
      </c>
      <c r="B5" s="9" t="s">
        <v>41</v>
      </c>
      <c r="C5" s="9" t="s">
        <v>42</v>
      </c>
      <c r="D5" s="9" t="s">
        <v>43</v>
      </c>
      <c r="E5" s="9" t="s">
        <v>44</v>
      </c>
      <c r="F5" s="9" t="s">
        <v>45</v>
      </c>
      <c r="G5" s="9" t="s">
        <v>46</v>
      </c>
      <c r="H5" s="9" t="s">
        <v>47</v>
      </c>
      <c r="I5" s="9" t="s">
        <v>48</v>
      </c>
      <c r="J5" s="9" t="s">
        <v>49</v>
      </c>
    </row>
    <row r="6" customFormat="false" ht="30" hidden="false" customHeight="true" outlineLevel="0" collapsed="false">
      <c r="A6" s="10" t="s">
        <v>50</v>
      </c>
      <c r="B6" s="5" t="n">
        <v>62675</v>
      </c>
      <c r="C6" s="4" t="s">
        <v>51</v>
      </c>
      <c r="D6" s="5" t="n">
        <v>15</v>
      </c>
      <c r="E6" s="11" t="n">
        <v>0.35</v>
      </c>
      <c r="F6" s="11" t="n">
        <v>0.95</v>
      </c>
      <c r="G6" s="12" t="n">
        <f aca="false">B6*(F6-E6)</f>
        <v>37605</v>
      </c>
      <c r="H6" s="13" t="n">
        <f aca="false">G6/350</f>
        <v>107.442857142857</v>
      </c>
      <c r="I6" s="12" t="n">
        <f aca="false">ROUNDUP(D6*F6/3,0)</f>
        <v>5</v>
      </c>
      <c r="J6" s="12" t="n">
        <f aca="false">G6*Hypothèses!$B$6*Hypothèses!$B$7/1000</f>
        <v>2406.72</v>
      </c>
    </row>
    <row r="7" customFormat="false" ht="30" hidden="false" customHeight="true" outlineLevel="0" collapsed="false">
      <c r="A7" s="10" t="s">
        <v>52</v>
      </c>
      <c r="B7" s="5" t="n">
        <v>137287</v>
      </c>
      <c r="C7" s="4" t="s">
        <v>51</v>
      </c>
      <c r="D7" s="5" t="n">
        <v>12</v>
      </c>
      <c r="E7" s="11" t="n">
        <v>0.25</v>
      </c>
      <c r="F7" s="11" t="n">
        <v>0.9</v>
      </c>
      <c r="G7" s="12" t="n">
        <f aca="false">B7*(F7-E7)</f>
        <v>89236.55</v>
      </c>
      <c r="H7" s="13" t="n">
        <f aca="false">G7/350</f>
        <v>254.961571428571</v>
      </c>
      <c r="I7" s="12" t="n">
        <f aca="false">ROUNDUP(D7*F7/3,0)</f>
        <v>4</v>
      </c>
      <c r="J7" s="12" t="n">
        <f aca="false">G7*Hypothèses!$B$6*Hypothèses!$B$7/1000</f>
        <v>5711.1392</v>
      </c>
    </row>
    <row r="8" customFormat="false" ht="30" hidden="false" customHeight="true" outlineLevel="0" collapsed="false">
      <c r="A8" s="10" t="s">
        <v>53</v>
      </c>
      <c r="B8" s="5" t="n">
        <v>177271</v>
      </c>
      <c r="C8" s="4" t="s">
        <v>54</v>
      </c>
      <c r="D8" s="5" t="n">
        <v>8</v>
      </c>
      <c r="E8" s="11" t="n">
        <v>0.2</v>
      </c>
      <c r="F8" s="11" t="n">
        <v>0.9</v>
      </c>
      <c r="G8" s="12" t="n">
        <f aca="false">B8*(F8-E8)</f>
        <v>124089.7</v>
      </c>
      <c r="H8" s="13" t="n">
        <f aca="false">G8/350</f>
        <v>354.542</v>
      </c>
      <c r="I8" s="12" t="n">
        <f aca="false">ROUNDUP(D8*F8/3,0)</f>
        <v>3</v>
      </c>
      <c r="J8" s="12" t="n">
        <f aca="false">G8*Hypothèses!$B$6*Hypothèses!$B$7/1000</f>
        <v>7941.7408</v>
      </c>
    </row>
    <row r="9" customFormat="false" ht="30" hidden="false" customHeight="true" outlineLevel="0" collapsed="false">
      <c r="A9" s="10" t="s">
        <v>55</v>
      </c>
      <c r="B9" s="5" t="n">
        <v>670310</v>
      </c>
      <c r="C9" s="4" t="s">
        <v>51</v>
      </c>
      <c r="D9" s="5" t="n">
        <v>75</v>
      </c>
      <c r="E9" s="11" t="n">
        <v>0.1</v>
      </c>
      <c r="F9" s="11" t="n">
        <v>0.8</v>
      </c>
      <c r="G9" s="12" t="n">
        <f aca="false">B9*(F9-E9)</f>
        <v>469217</v>
      </c>
      <c r="H9" s="13" t="n">
        <f aca="false">G9/350</f>
        <v>1340.62</v>
      </c>
      <c r="I9" s="12" t="n">
        <f aca="false">ROUNDUP(D9*F9/3,0)</f>
        <v>20</v>
      </c>
      <c r="J9" s="12" t="n">
        <f aca="false">G9*Hypothèses!$B$6*Hypothèses!$B$7/1000</f>
        <v>30029.888</v>
      </c>
    </row>
    <row r="10" customFormat="false" ht="30" hidden="false" customHeight="true" outlineLevel="0" collapsed="false">
      <c r="A10" s="10" t="s">
        <v>56</v>
      </c>
      <c r="B10" s="5" t="n">
        <v>653934</v>
      </c>
      <c r="C10" s="4" t="s">
        <v>51</v>
      </c>
      <c r="D10" s="5" t="n">
        <v>90</v>
      </c>
      <c r="E10" s="11" t="n">
        <v>0.08</v>
      </c>
      <c r="F10" s="11" t="n">
        <v>0.75</v>
      </c>
      <c r="G10" s="12" t="n">
        <f aca="false">B10*(F10-E10)</f>
        <v>438135.78</v>
      </c>
      <c r="H10" s="13" t="n">
        <f aca="false">G10/350</f>
        <v>1251.81651428571</v>
      </c>
      <c r="I10" s="12" t="n">
        <f aca="false">ROUNDUP(D10*F10/3,0)</f>
        <v>23</v>
      </c>
      <c r="J10" s="12" t="n">
        <f aca="false">G10*Hypothèses!$B$6*Hypothèses!$B$7/1000</f>
        <v>28040.68992</v>
      </c>
    </row>
    <row r="11" customFormat="false" ht="39.75" hidden="false" customHeight="true" outlineLevel="0" collapsed="false">
      <c r="A11" s="10" t="s">
        <v>57</v>
      </c>
      <c r="B11" s="14" t="n">
        <f aca="false">3407327-SUM(B6:B10)</f>
        <v>1705850</v>
      </c>
      <c r="C11" s="4" t="s">
        <v>58</v>
      </c>
      <c r="D11" s="5" t="n">
        <v>250</v>
      </c>
      <c r="E11" s="11" t="n">
        <v>0.03</v>
      </c>
      <c r="F11" s="11" t="n">
        <v>0.6</v>
      </c>
      <c r="G11" s="12" t="n">
        <f aca="false">B11*(F11-E11)</f>
        <v>972334.5</v>
      </c>
      <c r="H11" s="13" t="n">
        <f aca="false">G11/500</f>
        <v>1944.669</v>
      </c>
      <c r="I11" s="12" t="n">
        <f aca="false">ROUNDUP(D11*F11/4,0)</f>
        <v>38</v>
      </c>
      <c r="J11" s="12" t="n">
        <f aca="false">G11*Hypothèses!$B$6*Hypothèses!$B$7/1000</f>
        <v>62229.408</v>
      </c>
    </row>
    <row r="12" customFormat="false" ht="15" hidden="false" customHeight="false" outlineLevel="0" collapsed="false">
      <c r="A12" s="15" t="s">
        <v>59</v>
      </c>
      <c r="B12" s="16" t="n">
        <f aca="false">SUM(B6:B11)</f>
        <v>3407327</v>
      </c>
      <c r="C12" s="17"/>
      <c r="D12" s="16" t="n">
        <f aca="false">SUM(D6:D11)</f>
        <v>450</v>
      </c>
      <c r="E12" s="17"/>
      <c r="F12" s="17"/>
      <c r="G12" s="16" t="n">
        <f aca="false">SUM(G6:G11)</f>
        <v>2130618.53</v>
      </c>
      <c r="H12" s="18" t="n">
        <f aca="false">SUM(H6:H11)</f>
        <v>5254.05194285714</v>
      </c>
      <c r="I12" s="16" t="n">
        <f aca="false">SUM(I6:I11)</f>
        <v>93</v>
      </c>
      <c r="J12" s="16" t="n">
        <f aca="false">SUM(J6:J11)</f>
        <v>136359.58592</v>
      </c>
    </row>
  </sheetData>
  <mergeCells count="2">
    <mergeCell ref="A1:J1"/>
    <mergeCell ref="A3:J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12"/>
    <col collapsed="false" customWidth="true" hidden="false" outlineLevel="0" max="4" min="4" style="0" width="16"/>
    <col collapsed="false" customWidth="true" hidden="false" outlineLevel="0" max="5" min="5" style="0" width="14"/>
    <col collapsed="false" customWidth="true" hidden="false" outlineLevel="0" max="7" min="6" style="0" width="18"/>
    <col collapsed="false" customWidth="true" hidden="false" outlineLevel="0" max="8" min="8" style="0" width="22"/>
  </cols>
  <sheetData>
    <row r="1" customFormat="false" ht="27.75" hidden="false" customHeight="true" outlineLevel="0" collapsed="false">
      <c r="A1" s="1" t="s">
        <v>60</v>
      </c>
      <c r="B1" s="1"/>
      <c r="C1" s="1"/>
      <c r="D1" s="1"/>
      <c r="E1" s="1"/>
      <c r="F1" s="1"/>
      <c r="G1" s="1"/>
      <c r="H1" s="1"/>
    </row>
    <row r="3" customFormat="false" ht="15" hidden="false" customHeight="false" outlineLevel="0" collapsed="false">
      <c r="A3" s="8" t="s">
        <v>61</v>
      </c>
      <c r="B3" s="8"/>
      <c r="C3" s="8"/>
      <c r="D3" s="8"/>
      <c r="E3" s="8"/>
      <c r="F3" s="8"/>
      <c r="G3" s="8"/>
      <c r="H3" s="8"/>
    </row>
    <row r="5" customFormat="false" ht="31.5" hidden="false" customHeight="true" outlineLevel="0" collapsed="false">
      <c r="A5" s="9" t="s">
        <v>62</v>
      </c>
      <c r="B5" s="9" t="s">
        <v>63</v>
      </c>
      <c r="C5" s="9" t="s">
        <v>64</v>
      </c>
      <c r="D5" s="9" t="s">
        <v>65</v>
      </c>
      <c r="E5" s="9" t="s">
        <v>66</v>
      </c>
      <c r="F5" s="9" t="s">
        <v>67</v>
      </c>
      <c r="G5" s="9" t="s">
        <v>68</v>
      </c>
      <c r="H5" s="9" t="s">
        <v>69</v>
      </c>
    </row>
    <row r="6" customFormat="false" ht="30" hidden="false" customHeight="true" outlineLevel="0" collapsed="false">
      <c r="A6" s="19" t="s">
        <v>70</v>
      </c>
      <c r="B6" s="10" t="s">
        <v>71</v>
      </c>
      <c r="C6" s="4" t="s">
        <v>72</v>
      </c>
      <c r="D6" s="13" t="n">
        <f aca="false">SUM('Données par zone'!H6:H8)</f>
        <v>716.946428571429</v>
      </c>
      <c r="E6" s="12" t="n">
        <f aca="false">SUM('Données par zone'!I6:I8)</f>
        <v>12</v>
      </c>
      <c r="F6" s="12" t="n">
        <f aca="false">SUM('Données par zone'!J6:J8)</f>
        <v>16059.6</v>
      </c>
      <c r="G6" s="12" t="n">
        <f aca="false">D6*(1-Hypothèses!$B$10)*Hypothèses!$B$8+D6*Hypothèses!$B$10*Hypothèses!$B$9+E6*Hypothèses!$B$11+F6*Hypothèses!$B$13</f>
        <v>176740327.5</v>
      </c>
      <c r="H6" s="12" t="n">
        <f aca="false">G6*(1+Hypothèses!$B$16+Hypothèses!$B$17)</f>
        <v>220925409.375</v>
      </c>
    </row>
    <row r="7" customFormat="false" ht="30" hidden="false" customHeight="true" outlineLevel="0" collapsed="false">
      <c r="A7" s="19" t="s">
        <v>73</v>
      </c>
      <c r="B7" s="10" t="s">
        <v>74</v>
      </c>
      <c r="C7" s="4" t="s">
        <v>75</v>
      </c>
      <c r="D7" s="13" t="n">
        <f aca="false">SUM('Données par zone'!H9:H10)</f>
        <v>2592.43651428571</v>
      </c>
      <c r="E7" s="12" t="n">
        <f aca="false">SUM('Données par zone'!I9:I10)</f>
        <v>43</v>
      </c>
      <c r="F7" s="12" t="n">
        <f aca="false">SUM('Données par zone'!J9:J10)</f>
        <v>58070.57792</v>
      </c>
      <c r="G7" s="12" t="n">
        <f aca="false">D7*(1-Hypothèses!$B$10)*Hypothèses!$B$8+D7*Hypothèses!$B$10*Hypothèses!$B$9+E7*Hypothèses!$B$11+F7*Hypothèses!$B$13</f>
        <v>638945771.528</v>
      </c>
      <c r="H7" s="12" t="n">
        <f aca="false">G7*(1+Hypothèses!$B$16+Hypothèses!$B$17)</f>
        <v>798682214.41</v>
      </c>
    </row>
    <row r="8" customFormat="false" ht="30" hidden="false" customHeight="true" outlineLevel="0" collapsed="false">
      <c r="A8" s="19" t="s">
        <v>76</v>
      </c>
      <c r="B8" s="10" t="s">
        <v>77</v>
      </c>
      <c r="C8" s="4" t="s">
        <v>78</v>
      </c>
      <c r="D8" s="13" t="n">
        <f aca="false">SUM('Données par zone'!H11:H11)</f>
        <v>1944.669</v>
      </c>
      <c r="E8" s="12" t="n">
        <f aca="false">SUM('Données par zone'!I11:I11)</f>
        <v>38</v>
      </c>
      <c r="F8" s="12" t="n">
        <f aca="false">SUM('Données par zone'!J11:J11)</f>
        <v>62229.408</v>
      </c>
      <c r="G8" s="12" t="n">
        <f aca="false">D8*(1-Hypothèses!$B$10)*Hypothèses!$B$8+D8*Hypothèses!$B$10*Hypothèses!$B$9+E8*Hypothèses!$B$11+F8*Hypothèses!$B$14</f>
        <v>476325688.9</v>
      </c>
      <c r="H8" s="12" t="n">
        <f aca="false">G8*(1+Hypothèses!$B$16+Hypothèses!$B$17)</f>
        <v>595407111.125</v>
      </c>
    </row>
    <row r="9" customFormat="false" ht="15" hidden="false" customHeight="false" outlineLevel="0" collapsed="false">
      <c r="A9" s="15" t="s">
        <v>79</v>
      </c>
      <c r="B9" s="17"/>
      <c r="C9" s="17"/>
      <c r="D9" s="18" t="n">
        <f aca="false">SUM(D6:D8)</f>
        <v>5254.05194285714</v>
      </c>
      <c r="E9" s="16" t="n">
        <f aca="false">SUM(E6:E8)</f>
        <v>93</v>
      </c>
      <c r="F9" s="16" t="n">
        <f aca="false">SUM(F6:F8)</f>
        <v>136359.58592</v>
      </c>
      <c r="G9" s="16" t="n">
        <f aca="false">SUM(G6:G8)</f>
        <v>1292011787.928</v>
      </c>
      <c r="H9" s="16" t="n">
        <f aca="false">SUM(H6:H8)</f>
        <v>1615014734.91</v>
      </c>
    </row>
    <row r="11" customFormat="false" ht="15" hidden="false" customHeight="false" outlineLevel="0" collapsed="false">
      <c r="A11" s="20" t="s">
        <v>80</v>
      </c>
      <c r="H11" s="21" t="n">
        <f aca="false">H9*Hypothèses!$B$15</f>
        <v>13921427014924.2</v>
      </c>
    </row>
    <row r="13" customFormat="false" ht="42" hidden="false" customHeight="true" outlineLevel="0" collapsed="false">
      <c r="A13" s="22" t="s">
        <v>81</v>
      </c>
      <c r="B13" s="22"/>
      <c r="C13" s="22"/>
      <c r="D13" s="22"/>
      <c r="E13" s="22"/>
      <c r="F13" s="22"/>
      <c r="G13" s="22"/>
      <c r="H13" s="22"/>
    </row>
  </sheetData>
  <mergeCells count="3">
    <mergeCell ref="A1:H1"/>
    <mergeCell ref="A3:H3"/>
    <mergeCell ref="A13:H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20"/>
  </cols>
  <sheetData>
    <row r="1" customFormat="false" ht="27.75" hidden="false" customHeight="true" outlineLevel="0" collapsed="false">
      <c r="A1" s="1" t="s">
        <v>82</v>
      </c>
      <c r="B1" s="1"/>
      <c r="C1" s="1"/>
      <c r="D1" s="1"/>
    </row>
    <row r="3" customFormat="false" ht="15" hidden="false" customHeight="false" outlineLevel="0" collapsed="false">
      <c r="A3" s="23" t="s">
        <v>83</v>
      </c>
    </row>
    <row r="5" customFormat="false" ht="21.75" hidden="false" customHeight="true" outlineLevel="0" collapsed="false">
      <c r="A5" s="24" t="s">
        <v>84</v>
      </c>
      <c r="B5" s="25" t="n">
        <f aca="false">'Données par zone'!B12</f>
        <v>3407327</v>
      </c>
    </row>
    <row r="6" customFormat="false" ht="21.75" hidden="false" customHeight="true" outlineLevel="0" collapsed="false">
      <c r="A6" s="24" t="s">
        <v>85</v>
      </c>
      <c r="B6" s="25" t="n">
        <f aca="false">'Données par zone'!G12</f>
        <v>2130618.53</v>
      </c>
    </row>
    <row r="7" customFormat="false" ht="21.75" hidden="false" customHeight="true" outlineLevel="0" collapsed="false">
      <c r="A7" s="24" t="s">
        <v>86</v>
      </c>
      <c r="B7" s="26" t="n">
        <f aca="false">'Phasage et coûts'!D9</f>
        <v>5254.05194285714</v>
      </c>
    </row>
    <row r="8" customFormat="false" ht="21.75" hidden="false" customHeight="true" outlineLevel="0" collapsed="false">
      <c r="A8" s="24" t="s">
        <v>87</v>
      </c>
      <c r="B8" s="25" t="n">
        <f aca="false">'Phasage et coûts'!E9</f>
        <v>93</v>
      </c>
    </row>
    <row r="9" customFormat="false" ht="21.75" hidden="false" customHeight="true" outlineLevel="0" collapsed="false">
      <c r="A9" s="24" t="s">
        <v>88</v>
      </c>
      <c r="B9" s="25" t="n">
        <f aca="false">'Phasage et coûts'!F9</f>
        <v>136359.58592</v>
      </c>
    </row>
    <row r="10" customFormat="false" ht="21.75" hidden="false" customHeight="true" outlineLevel="0" collapsed="false">
      <c r="A10" s="24" t="s">
        <v>89</v>
      </c>
      <c r="B10" s="25" t="n">
        <f aca="false">'Phasage et coûts'!H9</f>
        <v>1615014734.91</v>
      </c>
    </row>
    <row r="11" customFormat="false" ht="21.75" hidden="false" customHeight="true" outlineLevel="0" collapsed="false">
      <c r="A11" s="24" t="s">
        <v>90</v>
      </c>
      <c r="B11" s="25" t="n">
        <f aca="false">'Phasage et coûts'!H11</f>
        <v>13921427014924.2</v>
      </c>
    </row>
    <row r="13" customFormat="false" ht="15" hidden="false" customHeight="false" outlineLevel="0" collapsed="false">
      <c r="A13" s="27" t="s">
        <v>91</v>
      </c>
    </row>
    <row r="14" customFormat="false" ht="15" hidden="false" customHeight="false" outlineLevel="0" collapsed="false">
      <c r="A14" s="28" t="s">
        <v>62</v>
      </c>
      <c r="B14" s="28" t="s">
        <v>92</v>
      </c>
    </row>
    <row r="15" customFormat="false" ht="15" hidden="false" customHeight="false" outlineLevel="0" collapsed="false">
      <c r="A15" s="0" t="str">
        <f aca="false">'Phasage et coûts'!A6</f>
        <v>Phase 1 — Urgence centre-ville</v>
      </c>
      <c r="B15" s="29" t="n">
        <f aca="false">'Phasage et coûts'!H6</f>
        <v>220925409.375</v>
      </c>
    </row>
    <row r="16" customFormat="false" ht="15" hidden="false" customHeight="false" outlineLevel="0" collapsed="false">
      <c r="A16" s="0" t="str">
        <f aca="false">'Phasage et coûts'!A7</f>
        <v>Phase 2 — Consolidation zones denses</v>
      </c>
      <c r="B16" s="29" t="n">
        <f aca="false">'Phasage et coûts'!H7</f>
        <v>798682214.41</v>
      </c>
    </row>
    <row r="17" customFormat="false" ht="15" hidden="false" customHeight="false" outlineLevel="0" collapsed="false">
      <c r="A17" s="0" t="str">
        <f aca="false">'Phasage et coûts'!A8</f>
        <v>Phase 3 — Extension périphérique</v>
      </c>
      <c r="B17" s="29" t="n">
        <f aca="false">'Phasage et coûts'!H8</f>
        <v>595407111.125</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2026-07-31T15:28:29Z</dcterms:created>
  <dc:creator>openpyxl</dc:creator>
  <dc:description/>
  <dc:language>en-US</dc:language>
  <cp:lastModifiedBy/>
  <dcterms:modified xsi:type="dcterms:W3CDTF">2026-07-31T15:28:35Z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